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746abd655f10084/ECLV 25-26/ECL Doc2026/2026 USA-CAN-MX/"/>
    </mc:Choice>
  </mc:AlternateContent>
  <xr:revisionPtr revIDLastSave="0" documentId="8_{B0CF6196-35FD-481B-9B38-4F9696EEA85B}" xr6:coauthVersionLast="47" xr6:coauthVersionMax="47" xr10:uidLastSave="{00000000-0000-0000-0000-000000000000}"/>
  <bookViews>
    <workbookView xWindow="-108" yWindow="-108" windowWidth="23256" windowHeight="12720" activeTab="2" xr2:uid="{13E9365A-F53B-4F19-BF8F-DD646F206C5E}"/>
  </bookViews>
  <sheets>
    <sheet name="Form001" sheetId="1" r:id="rId1"/>
    <sheet name="Puntajes" sheetId="2" r:id="rId2"/>
    <sheet name="Grupos" sheetId="3" r:id="rId3"/>
  </sheets>
  <externalReferences>
    <externalReference r:id="rId4"/>
    <externalReference r:id="rId5"/>
  </externalReferences>
  <definedNames>
    <definedName name="_xlnm.Print_Area" localSheetId="0">Form001!$A$1:$J$41</definedName>
    <definedName name="Eq4tos" localSheetId="1">Puntajes!$D$31</definedName>
    <definedName name="Eq4tos">[1]Puntajes!$E$23</definedName>
    <definedName name="Eq8tvos" localSheetId="1">Puntajes!$D$22</definedName>
    <definedName name="Eq8tvos">[1]Puntajes!$E$14</definedName>
    <definedName name="EqCH" localSheetId="1">Puntajes!$D$56</definedName>
    <definedName name="EqCH">[1]Puntajes!$E$48</definedName>
    <definedName name="EqFI" localSheetId="1">Puntajes!$D$45</definedName>
    <definedName name="EqFI">[1]Puntajes!$E$37</definedName>
    <definedName name="EqSF" localSheetId="1">Puntajes!$D$38</definedName>
    <definedName name="EqSF">[1]Puntajes!$E$30</definedName>
    <definedName name="EQUIPOS1" localSheetId="1">[2]D000!$A$23:$H$40</definedName>
    <definedName name="EQUIPOS1">[1]D000!$A$23:$H$40</definedName>
    <definedName name="EQUIPOS2" localSheetId="1">[2]D000!$J$23:$Q$40</definedName>
    <definedName name="EQUIPOS2">[1]D000!$J$23:$Q$40</definedName>
    <definedName name="EQUIPOS3" localSheetId="1">[2]D000!$S$23:$Z$40</definedName>
    <definedName name="EQUIPOS3">[1]D000!$S$23:$Z$40</definedName>
    <definedName name="EQUIPOS4" localSheetId="1">[2]D000!$AB$23:$AI$40</definedName>
    <definedName name="EQUIPOS4">[1]D000!$AB$23:$AI$40</definedName>
    <definedName name="Ext" localSheetId="1">[2]Extras!$A$1:$W$112</definedName>
    <definedName name="Ext">[1]Extras!$A$1:$W$112</definedName>
    <definedName name="ExtCol" localSheetId="1">Puntajes!$D$64</definedName>
    <definedName name="ExtCol">[1]Puntajes!$E$56</definedName>
    <definedName name="ExtOt" localSheetId="1">Puntajes!$D$70</definedName>
    <definedName name="ExtOt">[1]Puntajes!$E$62</definedName>
    <definedName name="Extras">Form001!$K$1:$R$21</definedName>
    <definedName name="Fase32">Form001!$A$1:$J$41</definedName>
    <definedName name="Mar1er" localSheetId="1">Puntajes!$D$52</definedName>
    <definedName name="Mar1er">[1]Puntajes!$E$44</definedName>
    <definedName name="Mar1eraRonda" localSheetId="1">Puntajes!$D$18</definedName>
    <definedName name="Mar1eraRonda">[1]Puntajes!#REF!</definedName>
    <definedName name="Mar3er" localSheetId="1">Puntajes!$D$48</definedName>
    <definedName name="Mar3er">[1]Puntajes!$E$40</definedName>
    <definedName name="Mar4tos" localSheetId="1">Puntajes!$D$34</definedName>
    <definedName name="Mar4tos">[1]Puntajes!$E$26</definedName>
    <definedName name="Mar8tvos" localSheetId="1">Puntajes!$D$27</definedName>
    <definedName name="Mar8tvos">[1]Puntajes!$E$19</definedName>
    <definedName name="MarSF" localSheetId="1">Puntajes!$D$41</definedName>
    <definedName name="MarSF">[1]Puntajes!$E$33</definedName>
    <definedName name="MEST" comment="Marcadores Estimados" localSheetId="1">[2]Marcadores!$A$5:$DZ$54</definedName>
    <definedName name="MEST" comment="Marcadores Estimados">[1]Marcadores!$A$5:$DZ$54</definedName>
    <definedName name="PEq" localSheetId="1">[2]PEquipos!$A$1:$X$109</definedName>
    <definedName name="PEq">[1]PEquipos!$A$1:$X$109</definedName>
    <definedName name="Pmarc" localSheetId="1">[2]PMarcador!$C$1:$BU$104</definedName>
    <definedName name="Pmarc">[1]PMarcador!$C$1:$BU$104</definedName>
    <definedName name="_xlnm.Print_Titles" localSheetId="1">Puntajes!$1:$4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0" i="2" l="1"/>
  <c r="D71" i="2" s="1"/>
  <c r="D64" i="2"/>
  <c r="D65" i="2" s="1"/>
  <c r="C55" i="2"/>
  <c r="C54" i="2"/>
  <c r="D52" i="2"/>
  <c r="D53" i="2" s="1"/>
  <c r="D48" i="2"/>
  <c r="D49" i="2" s="1"/>
  <c r="D45" i="2"/>
  <c r="D41" i="2"/>
  <c r="D42" i="2" s="1"/>
  <c r="D38" i="2"/>
  <c r="D39" i="2" s="1"/>
  <c r="D34" i="2"/>
  <c r="D35" i="2" s="1"/>
  <c r="D31" i="2"/>
  <c r="D27" i="2"/>
  <c r="D28" i="2" s="1"/>
  <c r="D22" i="2"/>
  <c r="D18" i="2"/>
  <c r="D5" i="2" s="1"/>
  <c r="D6" i="2" s="1"/>
  <c r="D13" i="2"/>
  <c r="D14" i="2" s="1"/>
  <c r="D11" i="2"/>
  <c r="D12" i="2" s="1"/>
  <c r="D9" i="2"/>
  <c r="D7" i="2"/>
  <c r="D8" i="2" s="1"/>
  <c r="D4" i="2"/>
  <c r="D32" i="2" s="1"/>
  <c r="Q20" i="1"/>
  <c r="M11" i="1"/>
  <c r="D46" i="2" l="1"/>
  <c r="D57" i="2"/>
  <c r="D23" i="2"/>
  <c r="D10" i="2"/>
  <c r="D19" i="2"/>
</calcChain>
</file>

<file path=xl/sharedStrings.xml><?xml version="1.0" encoding="utf-8"?>
<sst xmlns="http://schemas.openxmlformats.org/spreadsheetml/2006/main" count="409" uniqueCount="259">
  <si>
    <t>MUNDIAL  DE  FUTBOL  CANADA - MEXICO - USA  2026</t>
  </si>
  <si>
    <t>MUNDIAL  DE  FUTBOL  CAN - MX - USA  2026</t>
  </si>
  <si>
    <t>Participante:</t>
  </si>
  <si>
    <t>CC:</t>
  </si>
  <si>
    <t>Celular :</t>
  </si>
  <si>
    <t>Mail:</t>
  </si>
  <si>
    <t>Estas columnas indican el # del partido, de acuerdo al programa oficial. Se deben diligenciar las lineas superiores con los nombres que proyectan para cada partido y el marcador correspondiente. En las columnas B-C;I-J;Q-R está indicado que equipo debe llagar a cada casilla, de acuerdo a la hoja de descripción.</t>
  </si>
  <si>
    <t>EQUIPO 1</t>
  </si>
  <si>
    <t>EQUIPO 2</t>
  </si>
  <si>
    <t>FASE 32</t>
  </si>
  <si>
    <t>EXTRAS COLOMBIA</t>
  </si>
  <si>
    <t>Pronostico</t>
  </si>
  <si>
    <t>T A B L A    D E   E X T R A S</t>
  </si>
  <si>
    <t>P# 73</t>
  </si>
  <si>
    <t>2 - A</t>
  </si>
  <si>
    <t>2 - B</t>
  </si>
  <si>
    <t>M 1</t>
  </si>
  <si>
    <t>M 2</t>
  </si>
  <si>
    <t>P# 74</t>
  </si>
  <si>
    <t>1 - E</t>
  </si>
  <si>
    <t>3 - ABCDF</t>
  </si>
  <si>
    <t>Anotador 1er Gol</t>
  </si>
  <si>
    <t>Número Total de Goles</t>
  </si>
  <si>
    <t>Anotador Ultimo Gol</t>
  </si>
  <si>
    <t>Jugador Goleador</t>
  </si>
  <si>
    <t>P# 75</t>
  </si>
  <si>
    <t>1 - F</t>
  </si>
  <si>
    <t>2 - C</t>
  </si>
  <si>
    <t>P# 76</t>
  </si>
  <si>
    <t>1 - C</t>
  </si>
  <si>
    <t>2 - F</t>
  </si>
  <si>
    <t>Total goles Favor</t>
  </si>
  <si>
    <t xml:space="preserve">Número de Goles </t>
  </si>
  <si>
    <t>Total goles Contra</t>
  </si>
  <si>
    <t>Equipo  Primer Gol</t>
  </si>
  <si>
    <t>P# 77</t>
  </si>
  <si>
    <t>1 - I</t>
  </si>
  <si>
    <t>3 - CDFGH</t>
  </si>
  <si>
    <t>P# 78</t>
  </si>
  <si>
    <t>2 - E</t>
  </si>
  <si>
    <t>2 - I</t>
  </si>
  <si>
    <t>Posición Tabla</t>
  </si>
  <si>
    <t>Equipo  Ultimo Gol</t>
  </si>
  <si>
    <t>Equipo Gol No. 50</t>
  </si>
  <si>
    <t>P# 79</t>
  </si>
  <si>
    <t>1 - A</t>
  </si>
  <si>
    <t>3 - CEFHI</t>
  </si>
  <si>
    <t>P# 80</t>
  </si>
  <si>
    <t>1 - L</t>
  </si>
  <si>
    <t>3 - EHIJK</t>
  </si>
  <si>
    <t>Equipo  Gol No. 100</t>
  </si>
  <si>
    <t>Equipo Ultimo Lugar</t>
  </si>
  <si>
    <t>P# 81</t>
  </si>
  <si>
    <t>1 - D</t>
  </si>
  <si>
    <t>3 - BEFIJ</t>
  </si>
  <si>
    <t>P# 82</t>
  </si>
  <si>
    <t>1 - G</t>
  </si>
  <si>
    <t>3 - AEHIJ</t>
  </si>
  <si>
    <t>Equipo + Goles a favor</t>
  </si>
  <si>
    <t>Equipo + Goles en contra</t>
  </si>
  <si>
    <t>P# 83</t>
  </si>
  <si>
    <t>2 - K</t>
  </si>
  <si>
    <t>2 - L</t>
  </si>
  <si>
    <t>P# 84</t>
  </si>
  <si>
    <t>1 - H</t>
  </si>
  <si>
    <t>2 - J</t>
  </si>
  <si>
    <t>Equipo - Goles a favor</t>
  </si>
  <si>
    <t>Equipo - goles en contra</t>
  </si>
  <si>
    <t>P# 85</t>
  </si>
  <si>
    <t>1 - B</t>
  </si>
  <si>
    <t>3 - EFGIJ</t>
  </si>
  <si>
    <t>P# 86</t>
  </si>
  <si>
    <t>1 - J</t>
  </si>
  <si>
    <t>2 - H</t>
  </si>
  <si>
    <t>Continente Campeón</t>
  </si>
  <si>
    <t>Continente Sub-campeón</t>
  </si>
  <si>
    <t>P# 87</t>
  </si>
  <si>
    <t>1 - K</t>
  </si>
  <si>
    <t>3 - DEIJL</t>
  </si>
  <si>
    <t>P# 88</t>
  </si>
  <si>
    <t>2 - D</t>
  </si>
  <si>
    <t>2 - G</t>
  </si>
  <si>
    <t>EXTRAS</t>
  </si>
  <si>
    <t>Octavos</t>
  </si>
  <si>
    <t>Cuartos</t>
  </si>
  <si>
    <t>P# 89</t>
  </si>
  <si>
    <t>Ganador # 74</t>
  </si>
  <si>
    <t>Ganador # 77</t>
  </si>
  <si>
    <t>P# 97</t>
  </si>
  <si>
    <t>Ganador # 89</t>
  </si>
  <si>
    <t>Ganador # 90</t>
  </si>
  <si>
    <t>M1</t>
  </si>
  <si>
    <t>M2</t>
  </si>
  <si>
    <t>P# 90</t>
  </si>
  <si>
    <t>Ganador # 73</t>
  </si>
  <si>
    <t>Ganador # 75</t>
  </si>
  <si>
    <t>P# 98</t>
  </si>
  <si>
    <t>Ganador # 93</t>
  </si>
  <si>
    <t>Ganador # 94</t>
  </si>
  <si>
    <t>P# 91</t>
  </si>
  <si>
    <t>Ganador # 76</t>
  </si>
  <si>
    <t>Ganador # 78</t>
  </si>
  <si>
    <t>P# 99</t>
  </si>
  <si>
    <t>Ganador # 91</t>
  </si>
  <si>
    <t>Ganador # 92</t>
  </si>
  <si>
    <t>P# 92</t>
  </si>
  <si>
    <t>Ganador # 79</t>
  </si>
  <si>
    <t>Ganador # 80</t>
  </si>
  <si>
    <t>P# 100</t>
  </si>
  <si>
    <t>Ganador # 95</t>
  </si>
  <si>
    <t>Ganador # 96</t>
  </si>
  <si>
    <t>P# 93</t>
  </si>
  <si>
    <t>Ganador # 83</t>
  </si>
  <si>
    <t>Ganador # 84</t>
  </si>
  <si>
    <t>Semifin</t>
  </si>
  <si>
    <t>P# 101</t>
  </si>
  <si>
    <t>Ganador # 97</t>
  </si>
  <si>
    <t>Ganador # 98</t>
  </si>
  <si>
    <t>P# 94</t>
  </si>
  <si>
    <t>Ganador # 81</t>
  </si>
  <si>
    <t>Ganador # 82</t>
  </si>
  <si>
    <t>P# 102</t>
  </si>
  <si>
    <t>Ganador # 99</t>
  </si>
  <si>
    <t>Ganador # 100</t>
  </si>
  <si>
    <t>P# 95</t>
  </si>
  <si>
    <t>Ganador # 86</t>
  </si>
  <si>
    <t>Ganador # 88</t>
  </si>
  <si>
    <t>3er  lugar</t>
  </si>
  <si>
    <t>P# 96</t>
  </si>
  <si>
    <t>Ganador # 85</t>
  </si>
  <si>
    <t>Ganador # 87</t>
  </si>
  <si>
    <t>P# 103</t>
  </si>
  <si>
    <t>Perdedor # 101</t>
  </si>
  <si>
    <t>Perdedor # 102</t>
  </si>
  <si>
    <t>¡¡¡¡ BUENA SUERTE!!!!</t>
  </si>
  <si>
    <t>Final</t>
  </si>
  <si>
    <t>P# 104</t>
  </si>
  <si>
    <t>Ganador # 101</t>
  </si>
  <si>
    <t>Ganador # 102</t>
  </si>
  <si>
    <t>T  A  B  L  A        D  E        P U N T A J E S</t>
  </si>
  <si>
    <t>Puntos</t>
  </si>
  <si>
    <t xml:space="preserve">Puntos </t>
  </si>
  <si>
    <t>Individuales</t>
  </si>
  <si>
    <t>Acumulados</t>
  </si>
  <si>
    <t>MÁXIMO PUNTAJE POSIBLE</t>
  </si>
  <si>
    <t>MARCADORES</t>
  </si>
  <si>
    <t>EQUIPOS</t>
  </si>
  <si>
    <t>EXTRAS  COLOMBIA</t>
  </si>
  <si>
    <t>A.-</t>
  </si>
  <si>
    <t>CLASIFICACION A FASE 32</t>
  </si>
  <si>
    <t xml:space="preserve">Equipos en Orden </t>
  </si>
  <si>
    <t>Equipos Invertidos</t>
  </si>
  <si>
    <t>Primero en Orden</t>
  </si>
  <si>
    <t>Segundo en Orden</t>
  </si>
  <si>
    <t>FASE DE 32  - MARCADORES</t>
  </si>
  <si>
    <t>Marcador Total Acertado</t>
  </si>
  <si>
    <t>Ganador o Empate sin marcador</t>
  </si>
  <si>
    <t>Marcador Parcial Acertado</t>
  </si>
  <si>
    <t>B.-</t>
  </si>
  <si>
    <t>CLASIFICACION A OCTAVOS DE FINAL</t>
  </si>
  <si>
    <t>Primero y Segundo del Grupo en Orden</t>
  </si>
  <si>
    <t>Primero y Segundo del Grupo Invertidos</t>
  </si>
  <si>
    <t>OCTAVOS DE FINAL - MARCADORES</t>
  </si>
  <si>
    <t>C.-</t>
  </si>
  <si>
    <t>CLASIFICACION  A CUARTOS DE FINAL</t>
  </si>
  <si>
    <t>Equipo Clasificado en Orden (C/U)</t>
  </si>
  <si>
    <t>Equipo Clasificado en diferente lugar (C/U)</t>
  </si>
  <si>
    <t>CUARTOS DE FINAL - MARCADORES</t>
  </si>
  <si>
    <t>D.-</t>
  </si>
  <si>
    <t>CLASIFICACION A SEMIFINAL</t>
  </si>
  <si>
    <t>SEMIFINAL - MARCADORES</t>
  </si>
  <si>
    <t>E.-</t>
  </si>
  <si>
    <t>SEMIFINAL - GANADORES Y PERDEDORES</t>
  </si>
  <si>
    <t>Por cada Ganador ( 1er y 2do puestos )</t>
  </si>
  <si>
    <t>Por cada Perdedor ( 3er y 4to puestos )</t>
  </si>
  <si>
    <t>MARCADORES - 3er y 4to PUESTO</t>
  </si>
  <si>
    <t>F.-</t>
  </si>
  <si>
    <t>MARCADOR - FINAL</t>
  </si>
  <si>
    <t>G.-</t>
  </si>
  <si>
    <t>CLASIFICACION FINAL</t>
  </si>
  <si>
    <t>1ero,2do,3ero y 4to en orden</t>
  </si>
  <si>
    <t>1ero,2do,3ero y 4to en orden invertido</t>
  </si>
  <si>
    <t>Campeón Acertado</t>
  </si>
  <si>
    <t>Sub-Campeon Acertado</t>
  </si>
  <si>
    <t>Tercer puesto Acertado</t>
  </si>
  <si>
    <t>Cuarto puesto Acertado</t>
  </si>
  <si>
    <t>Cualquiera en Diferente Puesto ( C/U )</t>
  </si>
  <si>
    <t>H.-</t>
  </si>
  <si>
    <t>Jugador Primer Gol</t>
  </si>
  <si>
    <t>Jugador Ultimo Gol</t>
  </si>
  <si>
    <t>Total Goles a Favor</t>
  </si>
  <si>
    <t>Total Goles en Contra</t>
  </si>
  <si>
    <t>Posición Final Colombia</t>
  </si>
  <si>
    <t>I.-</t>
  </si>
  <si>
    <t>OTROS  EXTRAS</t>
  </si>
  <si>
    <t>Formulario No:</t>
  </si>
  <si>
    <t>Rk</t>
  </si>
  <si>
    <t>Grupo A:</t>
  </si>
  <si>
    <t>FG</t>
  </si>
  <si>
    <t>Grupo B:</t>
  </si>
  <si>
    <t>Grupo C:</t>
  </si>
  <si>
    <t>Grupo D:</t>
  </si>
  <si>
    <t>Grupo E:</t>
  </si>
  <si>
    <t>Grupo F:</t>
  </si>
  <si>
    <t>México</t>
  </si>
  <si>
    <t>Suiza</t>
  </si>
  <si>
    <t>Brasil</t>
  </si>
  <si>
    <t>EEUU</t>
  </si>
  <si>
    <t>Alemania</t>
  </si>
  <si>
    <t>Países Bajos</t>
  </si>
  <si>
    <t>República de Corea</t>
  </si>
  <si>
    <t>Canadá</t>
  </si>
  <si>
    <t>Marruecos</t>
  </si>
  <si>
    <t>Turquía</t>
  </si>
  <si>
    <t>Ecuador</t>
  </si>
  <si>
    <t>Japón</t>
  </si>
  <si>
    <t>República Checa</t>
  </si>
  <si>
    <t>Qatar</t>
  </si>
  <si>
    <t>Escocia</t>
  </si>
  <si>
    <t>Australia</t>
  </si>
  <si>
    <t>Costa de Marfil</t>
  </si>
  <si>
    <t>Suecia</t>
  </si>
  <si>
    <t>Sudáfrica</t>
  </si>
  <si>
    <t>Bosnia y Herzegovina</t>
  </si>
  <si>
    <t>Haití</t>
  </si>
  <si>
    <t>Paraguay</t>
  </si>
  <si>
    <t>Curazao</t>
  </si>
  <si>
    <t>Túnez</t>
  </si>
  <si>
    <t>Grupo G:</t>
  </si>
  <si>
    <t>Grupo H:</t>
  </si>
  <si>
    <t>Grupo I:</t>
  </si>
  <si>
    <t>Grupo J:</t>
  </si>
  <si>
    <t>Grupo K:</t>
  </si>
  <si>
    <t>Grupo L:</t>
  </si>
  <si>
    <t>Bélgica</t>
  </si>
  <si>
    <t>España</t>
  </si>
  <si>
    <t>Francia</t>
  </si>
  <si>
    <t>Argentina</t>
  </si>
  <si>
    <t>Portugal</t>
  </si>
  <si>
    <t>Inglaterra</t>
  </si>
  <si>
    <t>RI de Irán</t>
  </si>
  <si>
    <t>Uruguay</t>
  </si>
  <si>
    <t>Senegal</t>
  </si>
  <si>
    <t>Austria</t>
  </si>
  <si>
    <t>Colombia</t>
  </si>
  <si>
    <t>Croacia</t>
  </si>
  <si>
    <t>Egipto</t>
  </si>
  <si>
    <t>Arabia Saudí</t>
  </si>
  <si>
    <t>Noruega</t>
  </si>
  <si>
    <t>Argelia</t>
  </si>
  <si>
    <t>RD del Congo</t>
  </si>
  <si>
    <t>Panamá</t>
  </si>
  <si>
    <t>Nueva Zelanda</t>
  </si>
  <si>
    <t>Cabo Verde</t>
  </si>
  <si>
    <t>Irak</t>
  </si>
  <si>
    <t>Jordania</t>
  </si>
  <si>
    <t>Uzbekistán</t>
  </si>
  <si>
    <t>Ghana</t>
  </si>
  <si>
    <t>Tabla para mejor 3ero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</si>
</sst>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20"/>
      <name val="Arial Nova Cond"/>
      <family val="2"/>
    </font>
    <font>
      <sz val="10"/>
      <name val="Arial Nova Cond"/>
      <family val="2"/>
    </font>
    <font>
      <b/>
      <sz val="16"/>
      <name val="Arial Nova Cond"/>
      <family val="2"/>
    </font>
    <font>
      <b/>
      <sz val="9"/>
      <name val="Arial Nova Cond"/>
      <family val="2"/>
    </font>
    <font>
      <b/>
      <sz val="10"/>
      <color indexed="53"/>
      <name val="Arial Nova Cond"/>
      <family val="2"/>
    </font>
    <font>
      <b/>
      <sz val="10"/>
      <name val="Arial Nova Cond"/>
      <family val="2"/>
    </font>
    <font>
      <b/>
      <sz val="8"/>
      <name val="Arial Nova Cond"/>
      <family val="2"/>
    </font>
    <font>
      <sz val="12"/>
      <name val="Arial Nova Cond"/>
      <family val="2"/>
    </font>
    <font>
      <b/>
      <sz val="12"/>
      <name val="Arial Nova Cond"/>
      <family val="2"/>
    </font>
    <font>
      <b/>
      <sz val="12"/>
      <color theme="6" tint="-0.499984740745262"/>
      <name val="Arial Nova Cond"/>
      <family val="2"/>
    </font>
    <font>
      <b/>
      <sz val="12"/>
      <name val="Arial Nova Cond"/>
    </font>
    <font>
      <b/>
      <sz val="8"/>
      <color theme="6" tint="-0.499984740745262"/>
      <name val="Arial Nova Cond"/>
      <family val="2"/>
    </font>
    <font>
      <b/>
      <sz val="10"/>
      <color theme="6" tint="-0.499984740745262"/>
      <name val="Arial Nova Cond"/>
      <family val="2"/>
    </font>
    <font>
      <b/>
      <sz val="24"/>
      <name val="Arial Nova Cond"/>
      <family val="2"/>
    </font>
    <font>
      <b/>
      <sz val="12"/>
      <color indexed="53"/>
      <name val="Arial Nova Cond"/>
      <family val="2"/>
    </font>
    <font>
      <b/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95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indexed="64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medium">
        <color auto="1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1"/>
      </left>
      <right/>
      <top style="thick">
        <color theme="1"/>
      </top>
      <bottom style="medium">
        <color theme="1"/>
      </bottom>
      <diagonal/>
    </border>
    <border>
      <left/>
      <right/>
      <top style="thick">
        <color theme="1"/>
      </top>
      <bottom style="medium">
        <color theme="1"/>
      </bottom>
      <diagonal/>
    </border>
    <border>
      <left/>
      <right style="thick">
        <color theme="1"/>
      </right>
      <top style="thick">
        <color theme="1"/>
      </top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thick">
        <color theme="1"/>
      </bottom>
      <diagonal/>
    </border>
    <border>
      <left/>
      <right/>
      <top style="medium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theme="1"/>
      </top>
      <bottom style="thick">
        <color theme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8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indent="5"/>
    </xf>
    <xf numFmtId="0" fontId="6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11" xfId="2" applyFont="1" applyFill="1" applyBorder="1" applyAlignment="1">
      <alignment horizontal="center" vertical="center"/>
    </xf>
    <xf numFmtId="0" fontId="7" fillId="0" borderId="0" xfId="0" applyFont="1"/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20" xfId="2" applyFont="1" applyBorder="1" applyAlignment="1">
      <alignment horizontal="left" vertical="center"/>
    </xf>
    <xf numFmtId="3" fontId="9" fillId="0" borderId="21" xfId="2" applyNumberFormat="1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10" fillId="0" borderId="0" xfId="0" applyFont="1"/>
    <xf numFmtId="0" fontId="9" fillId="0" borderId="23" xfId="2" applyFont="1" applyBorder="1" applyAlignment="1">
      <alignment horizontal="left" vertical="center"/>
    </xf>
    <xf numFmtId="0" fontId="9" fillId="0" borderId="24" xfId="2" applyFont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27" xfId="0" applyFont="1" applyBorder="1" applyAlignment="1" applyProtection="1">
      <alignment horizontal="center" vertical="center"/>
      <protection locked="0"/>
    </xf>
    <xf numFmtId="0" fontId="7" fillId="0" borderId="28" xfId="0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9" fillId="0" borderId="30" xfId="2" applyFont="1" applyBorder="1" applyAlignment="1">
      <alignment horizontal="left" vertical="center"/>
    </xf>
    <xf numFmtId="3" fontId="9" fillId="0" borderId="27" xfId="2" applyNumberFormat="1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  <xf numFmtId="0" fontId="9" fillId="0" borderId="0" xfId="0" applyFont="1"/>
    <xf numFmtId="0" fontId="7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33" xfId="2" applyFont="1" applyBorder="1" applyAlignment="1">
      <alignment horizontal="left" vertical="center"/>
    </xf>
    <xf numFmtId="0" fontId="7" fillId="0" borderId="34" xfId="2" applyFont="1" applyBorder="1" applyAlignment="1">
      <alignment horizontal="left" vertical="center"/>
    </xf>
    <xf numFmtId="3" fontId="7" fillId="0" borderId="35" xfId="2" applyNumberFormat="1" applyFont="1" applyBorder="1" applyAlignment="1">
      <alignment horizontal="center" vertical="center"/>
    </xf>
    <xf numFmtId="3" fontId="9" fillId="0" borderId="36" xfId="2" applyNumberFormat="1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horizontal="center"/>
    </xf>
    <xf numFmtId="0" fontId="12" fillId="0" borderId="37" xfId="2" applyFont="1" applyBorder="1" applyAlignment="1">
      <alignment horizontal="center" vertical="center"/>
    </xf>
    <xf numFmtId="3" fontId="12" fillId="0" borderId="38" xfId="2" applyNumberFormat="1" applyFont="1" applyBorder="1" applyAlignment="1">
      <alignment horizontal="center" vertical="center"/>
    </xf>
    <xf numFmtId="0" fontId="9" fillId="0" borderId="39" xfId="2" applyFont="1" applyBorder="1" applyAlignment="1">
      <alignment horizontal="center" vertical="center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6" fillId="5" borderId="15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14" fillId="0" borderId="22" xfId="0" applyFont="1" applyBorder="1" applyAlignment="1" applyProtection="1">
      <alignment horizontal="center" vertical="center"/>
      <protection locked="0"/>
    </xf>
    <xf numFmtId="0" fontId="7" fillId="4" borderId="29" xfId="0" applyFont="1" applyFill="1" applyBorder="1" applyAlignment="1">
      <alignment horizontal="center" vertical="center"/>
    </xf>
    <xf numFmtId="0" fontId="7" fillId="0" borderId="44" xfId="0" applyFont="1" applyBorder="1" applyAlignment="1" applyProtection="1">
      <alignment horizontal="center" vertical="center"/>
      <protection locked="0"/>
    </xf>
    <xf numFmtId="0" fontId="14" fillId="0" borderId="45" xfId="0" applyFont="1" applyBorder="1" applyAlignment="1" applyProtection="1">
      <alignment horizontal="center" vertical="center"/>
      <protection locked="0"/>
    </xf>
    <xf numFmtId="0" fontId="6" fillId="6" borderId="2" xfId="0" applyFont="1" applyFill="1" applyBorder="1" applyAlignment="1">
      <alignment horizontal="center" vertical="center"/>
    </xf>
    <xf numFmtId="0" fontId="7" fillId="6" borderId="46" xfId="0" applyFont="1" applyFill="1" applyBorder="1" applyAlignment="1">
      <alignment horizontal="center" vertical="center"/>
    </xf>
    <xf numFmtId="0" fontId="7" fillId="4" borderId="4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7" fillId="3" borderId="5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0" borderId="52" xfId="0" applyFont="1" applyBorder="1" applyAlignment="1" applyProtection="1">
      <alignment horizontal="center" vertical="center"/>
      <protection locked="0"/>
    </xf>
    <xf numFmtId="0" fontId="7" fillId="0" borderId="53" xfId="0" applyFont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vertical="center"/>
    </xf>
    <xf numFmtId="0" fontId="7" fillId="7" borderId="5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4" borderId="52" xfId="0" applyFont="1" applyFill="1" applyBorder="1" applyAlignment="1">
      <alignment horizontal="center" vertical="center"/>
    </xf>
    <xf numFmtId="0" fontId="7" fillId="4" borderId="53" xfId="0" applyFont="1" applyFill="1" applyBorder="1" applyAlignment="1">
      <alignment horizontal="center" vertical="center"/>
    </xf>
    <xf numFmtId="0" fontId="7" fillId="4" borderId="58" xfId="0" applyFont="1" applyFill="1" applyBorder="1" applyAlignment="1">
      <alignment horizontal="center" vertical="center"/>
    </xf>
    <xf numFmtId="0" fontId="14" fillId="4" borderId="59" xfId="0" applyFont="1" applyFill="1" applyBorder="1" applyAlignment="1" applyProtection="1">
      <alignment horizontal="center" vertical="center"/>
      <protection locked="0"/>
    </xf>
    <xf numFmtId="0" fontId="14" fillId="0" borderId="36" xfId="0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65" xfId="0" applyFont="1" applyBorder="1"/>
    <xf numFmtId="0" fontId="1" fillId="0" borderId="27" xfId="0" applyFont="1" applyBorder="1"/>
    <xf numFmtId="0" fontId="18" fillId="0" borderId="27" xfId="0" applyFont="1" applyBorder="1" applyAlignment="1">
      <alignment horizontal="center"/>
    </xf>
    <xf numFmtId="0" fontId="18" fillId="0" borderId="66" xfId="0" applyFont="1" applyBorder="1" applyAlignment="1">
      <alignment horizontal="center"/>
    </xf>
    <xf numFmtId="0" fontId="1" fillId="0" borderId="67" xfId="0" applyFont="1" applyBorder="1"/>
    <xf numFmtId="3" fontId="17" fillId="0" borderId="68" xfId="0" applyNumberFormat="1" applyFont="1" applyBorder="1" applyAlignment="1">
      <alignment horizontal="center"/>
    </xf>
    <xf numFmtId="3" fontId="17" fillId="0" borderId="72" xfId="0" applyNumberFormat="1" applyFont="1" applyBorder="1" applyAlignment="1">
      <alignment horizontal="center"/>
    </xf>
    <xf numFmtId="164" fontId="17" fillId="0" borderId="75" xfId="1" applyNumberFormat="1" applyFont="1" applyBorder="1" applyAlignment="1">
      <alignment horizontal="center"/>
    </xf>
    <xf numFmtId="3" fontId="0" fillId="0" borderId="49" xfId="0" applyNumberFormat="1" applyBorder="1" applyAlignment="1">
      <alignment horizontal="center"/>
    </xf>
    <xf numFmtId="0" fontId="0" fillId="0" borderId="27" xfId="0" applyBorder="1"/>
    <xf numFmtId="3" fontId="0" fillId="0" borderId="27" xfId="0" applyNumberFormat="1" applyBorder="1" applyAlignment="1">
      <alignment horizontal="center"/>
    </xf>
    <xf numFmtId="0" fontId="0" fillId="0" borderId="79" xfId="0" applyBorder="1"/>
    <xf numFmtId="3" fontId="0" fillId="0" borderId="79" xfId="0" applyNumberFormat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3" fontId="1" fillId="0" borderId="79" xfId="0" applyNumberFormat="1" applyFont="1" applyBorder="1" applyAlignment="1">
      <alignment horizontal="center"/>
    </xf>
    <xf numFmtId="0" fontId="1" fillId="0" borderId="41" xfId="0" applyFont="1" applyBorder="1"/>
    <xf numFmtId="3" fontId="0" fillId="0" borderId="41" xfId="0" applyNumberFormat="1" applyBorder="1" applyAlignment="1">
      <alignment horizontal="center"/>
    </xf>
    <xf numFmtId="0" fontId="2" fillId="0" borderId="87" xfId="0" applyFont="1" applyBorder="1" applyAlignment="1">
      <alignment vertical="center"/>
    </xf>
    <xf numFmtId="0" fontId="2" fillId="0" borderId="88" xfId="0" applyFont="1" applyBorder="1" applyAlignment="1">
      <alignment vertical="center"/>
    </xf>
    <xf numFmtId="0" fontId="2" fillId="0" borderId="89" xfId="0" applyFont="1" applyBorder="1" applyAlignment="1">
      <alignment vertical="center"/>
    </xf>
    <xf numFmtId="0" fontId="2" fillId="0" borderId="92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 wrapText="1"/>
    </xf>
    <xf numFmtId="0" fontId="3" fillId="0" borderId="63" xfId="0" applyFont="1" applyBorder="1" applyAlignment="1">
      <alignment vertical="center" wrapText="1"/>
    </xf>
    <xf numFmtId="0" fontId="3" fillId="0" borderId="94" xfId="0" applyFont="1" applyBorder="1" applyAlignment="1">
      <alignment vertical="center" wrapText="1"/>
    </xf>
    <xf numFmtId="0" fontId="3" fillId="0" borderId="49" xfId="0" applyFont="1" applyBorder="1" applyAlignment="1">
      <alignment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7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3" fillId="0" borderId="29" xfId="0" applyFont="1" applyBorder="1" applyAlignment="1">
      <alignment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41" xfId="0" applyFont="1" applyBorder="1" applyAlignment="1">
      <alignment vertical="center" wrapText="1"/>
    </xf>
    <xf numFmtId="0" fontId="3" fillId="0" borderId="44" xfId="0" applyFont="1" applyBorder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2" fillId="0" borderId="84" xfId="0" applyFont="1" applyBorder="1" applyAlignment="1">
      <alignment horizontal="left" vertical="center"/>
    </xf>
    <xf numFmtId="0" fontId="2" fillId="0" borderId="85" xfId="0" applyFont="1" applyBorder="1" applyAlignment="1">
      <alignment horizontal="left" vertical="center"/>
    </xf>
    <xf numFmtId="0" fontId="2" fillId="0" borderId="86" xfId="0" applyFont="1" applyBorder="1" applyAlignment="1">
      <alignment horizontal="left" vertical="center"/>
    </xf>
    <xf numFmtId="0" fontId="2" fillId="0" borderId="88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2" fillId="0" borderId="91" xfId="0" applyFont="1" applyBorder="1" applyAlignment="1">
      <alignment horizontal="left" vertical="center"/>
    </xf>
    <xf numFmtId="0" fontId="2" fillId="0" borderId="92" xfId="0" applyFont="1" applyBorder="1" applyAlignment="1">
      <alignment horizontal="left" vertical="center"/>
    </xf>
    <xf numFmtId="0" fontId="2" fillId="0" borderId="92" xfId="0" applyFont="1" applyBorder="1" applyAlignment="1">
      <alignment horizontal="center" vertical="center"/>
    </xf>
    <xf numFmtId="0" fontId="2" fillId="0" borderId="9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/>
    </xf>
    <xf numFmtId="0" fontId="7" fillId="3" borderId="47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7" fillId="7" borderId="51" xfId="0" applyFont="1" applyFill="1" applyBorder="1" applyAlignment="1">
      <alignment horizontal="center" vertical="center"/>
    </xf>
    <xf numFmtId="0" fontId="7" fillId="7" borderId="47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6" borderId="46" xfId="0" applyFont="1" applyFill="1" applyBorder="1" applyAlignment="1">
      <alignment horizontal="center" vertical="center"/>
    </xf>
    <xf numFmtId="0" fontId="7" fillId="6" borderId="47" xfId="0" applyFont="1" applyFill="1" applyBorder="1" applyAlignment="1">
      <alignment horizontal="center" vertical="center"/>
    </xf>
    <xf numFmtId="0" fontId="7" fillId="5" borderId="42" xfId="0" applyFont="1" applyFill="1" applyBorder="1" applyAlignment="1">
      <alignment horizontal="center" vertical="center"/>
    </xf>
    <xf numFmtId="0" fontId="7" fillId="5" borderId="43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9" fillId="0" borderId="82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0" fillId="0" borderId="63" xfId="0" applyBorder="1" applyAlignment="1">
      <alignment horizontal="center"/>
    </xf>
    <xf numFmtId="164" fontId="20" fillId="0" borderId="78" xfId="1" applyNumberFormat="1" applyFont="1" applyBorder="1" applyAlignment="1">
      <alignment horizontal="center" vertical="center"/>
    </xf>
    <xf numFmtId="164" fontId="20" fillId="0" borderId="59" xfId="1" applyNumberFormat="1" applyFont="1" applyBorder="1" applyAlignment="1">
      <alignment horizontal="center" vertical="center"/>
    </xf>
    <xf numFmtId="164" fontId="20" fillId="0" borderId="45" xfId="1" applyNumberFormat="1" applyFont="1" applyBorder="1" applyAlignment="1">
      <alignment horizontal="center" vertical="center"/>
    </xf>
    <xf numFmtId="0" fontId="19" fillId="0" borderId="83" xfId="0" applyFont="1" applyBorder="1" applyAlignment="1">
      <alignment horizontal="center" vertical="center"/>
    </xf>
    <xf numFmtId="164" fontId="20" fillId="0" borderId="80" xfId="1" applyNumberFormat="1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19" fillId="0" borderId="77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7" fillId="0" borderId="62" xfId="0" applyFont="1" applyBorder="1" applyAlignment="1">
      <alignment horizontal="center"/>
    </xf>
    <xf numFmtId="0" fontId="17" fillId="0" borderId="63" xfId="0" applyFont="1" applyBorder="1" applyAlignment="1">
      <alignment horizontal="center"/>
    </xf>
    <xf numFmtId="0" fontId="17" fillId="0" borderId="64" xfId="0" applyFont="1" applyBorder="1" applyAlignment="1">
      <alignment horizontal="center"/>
    </xf>
    <xf numFmtId="0" fontId="17" fillId="0" borderId="53" xfId="0" applyFont="1" applyBorder="1" applyAlignment="1">
      <alignment horizontal="center"/>
    </xf>
    <xf numFmtId="0" fontId="17" fillId="0" borderId="69" xfId="0" applyFont="1" applyBorder="1" applyAlignment="1">
      <alignment horizontal="center" vertical="center"/>
    </xf>
    <xf numFmtId="0" fontId="17" fillId="0" borderId="70" xfId="0" applyFont="1" applyBorder="1" applyAlignment="1">
      <alignment horizontal="center" vertical="center"/>
    </xf>
    <xf numFmtId="0" fontId="17" fillId="0" borderId="71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</cellXfs>
  <cellStyles count="3">
    <cellStyle name="Normal" xfId="0" builtinId="0"/>
    <cellStyle name="Normal 2" xfId="2" xr:uid="{1E40200C-6640-4C04-AD63-0D18B5D69EE6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746abd655f10084/ECLV%2025-26/ECL%20Doc2026/TotalRusia1.xlsx" TargetMode="External"/><Relationship Id="rId1" Type="http://schemas.openxmlformats.org/officeDocument/2006/relationships/externalLinkPath" Target="TotalRusia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nesto\Downloads\TotalRusia.xlsx" TargetMode="External"/><Relationship Id="rId1" Type="http://schemas.openxmlformats.org/officeDocument/2006/relationships/externalLinkPath" Target="file:///C:\Users\Ernesto\Downloads\TotalRus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nkingFifa"/>
      <sheetName val="Premios"/>
      <sheetName val="Participantes"/>
      <sheetName val="Boletin"/>
      <sheetName val="Calendario"/>
      <sheetName val="Tablas"/>
      <sheetName val="Puntajes Anterior"/>
      <sheetName val="Puntajes"/>
      <sheetName val="PTotales"/>
      <sheetName val="Marcadores"/>
      <sheetName val="PMarcador"/>
      <sheetName val="Equipos"/>
      <sheetName val="PEquipos"/>
      <sheetName val="Extras"/>
      <sheetName val="PExtras"/>
      <sheetName val="Formularios"/>
      <sheetName val="D000"/>
      <sheetName val="Hoja1"/>
      <sheetName val="Hoja1 (2)"/>
      <sheetName val="Resumen Posiciones"/>
      <sheetName val="D001"/>
      <sheetName val="D002"/>
      <sheetName val="D003"/>
      <sheetName val="D004"/>
      <sheetName val="D005"/>
      <sheetName val="D006"/>
      <sheetName val="D007"/>
      <sheetName val="D008"/>
      <sheetName val="D009"/>
      <sheetName val="D010"/>
      <sheetName val="D011"/>
      <sheetName val="D012"/>
      <sheetName val="D013"/>
      <sheetName val="D014"/>
      <sheetName val="D015"/>
      <sheetName val="D016"/>
      <sheetName val="D017"/>
      <sheetName val="D018"/>
      <sheetName val="D019"/>
      <sheetName val="D020"/>
      <sheetName val="D021"/>
      <sheetName val="D022"/>
      <sheetName val="D023"/>
      <sheetName val="D024"/>
      <sheetName val="D025"/>
      <sheetName val="D026"/>
      <sheetName val="D027"/>
      <sheetName val="D028"/>
      <sheetName val="D029"/>
      <sheetName val="D030"/>
      <sheetName val="D031"/>
      <sheetName val="D032"/>
      <sheetName val="D033"/>
      <sheetName val="D034"/>
      <sheetName val="D035"/>
      <sheetName val="D036"/>
      <sheetName val="D037"/>
      <sheetName val="D038"/>
      <sheetName val="D039"/>
      <sheetName val="D040"/>
      <sheetName val="D041"/>
      <sheetName val="D042"/>
      <sheetName val="D043"/>
      <sheetName val="D044"/>
      <sheetName val="D045"/>
      <sheetName val="D046"/>
      <sheetName val="D047"/>
      <sheetName val="D048"/>
      <sheetName val="D049"/>
      <sheetName val="D050"/>
      <sheetName val="D05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">
          <cell r="E14">
            <v>480</v>
          </cell>
        </row>
        <row r="19">
          <cell r="E19">
            <v>480</v>
          </cell>
        </row>
        <row r="23">
          <cell r="E23">
            <v>320</v>
          </cell>
        </row>
        <row r="26">
          <cell r="E26">
            <v>240</v>
          </cell>
        </row>
        <row r="30">
          <cell r="E30">
            <v>160</v>
          </cell>
        </row>
        <row r="33">
          <cell r="E33">
            <v>140</v>
          </cell>
        </row>
        <row r="37">
          <cell r="E37">
            <v>190</v>
          </cell>
        </row>
        <row r="40">
          <cell r="E40">
            <v>70</v>
          </cell>
        </row>
        <row r="44">
          <cell r="E44">
            <v>80</v>
          </cell>
        </row>
        <row r="48">
          <cell r="E48">
            <v>200</v>
          </cell>
        </row>
        <row r="56">
          <cell r="E56">
            <v>330</v>
          </cell>
        </row>
        <row r="62">
          <cell r="E62">
            <v>590</v>
          </cell>
        </row>
      </sheetData>
      <sheetData sheetId="8"/>
      <sheetData sheetId="9">
        <row r="5">
          <cell r="A5">
            <v>1</v>
          </cell>
          <cell r="B5" t="str">
            <v>María Eugenia de Lemaitre</v>
          </cell>
          <cell r="C5">
            <v>1</v>
          </cell>
          <cell r="D5">
            <v>0</v>
          </cell>
          <cell r="E5">
            <v>1</v>
          </cell>
          <cell r="F5">
            <v>2</v>
          </cell>
          <cell r="G5">
            <v>1</v>
          </cell>
          <cell r="H5">
            <v>2</v>
          </cell>
          <cell r="I5">
            <v>0</v>
          </cell>
          <cell r="J5">
            <v>0</v>
          </cell>
          <cell r="K5">
            <v>2</v>
          </cell>
          <cell r="L5">
            <v>1</v>
          </cell>
          <cell r="M5">
            <v>2</v>
          </cell>
          <cell r="N5">
            <v>0</v>
          </cell>
          <cell r="O5">
            <v>1</v>
          </cell>
          <cell r="P5">
            <v>0</v>
          </cell>
          <cell r="Q5">
            <v>3</v>
          </cell>
          <cell r="R5">
            <v>1</v>
          </cell>
          <cell r="S5">
            <v>2</v>
          </cell>
          <cell r="T5">
            <v>0</v>
          </cell>
          <cell r="U5">
            <v>2</v>
          </cell>
          <cell r="V5">
            <v>0</v>
          </cell>
          <cell r="W5">
            <v>2</v>
          </cell>
          <cell r="X5">
            <v>1</v>
          </cell>
          <cell r="Y5">
            <v>2</v>
          </cell>
          <cell r="Z5">
            <v>1</v>
          </cell>
          <cell r="AA5">
            <v>2</v>
          </cell>
          <cell r="AB5">
            <v>0</v>
          </cell>
          <cell r="AC5">
            <v>0</v>
          </cell>
          <cell r="AD5">
            <v>1</v>
          </cell>
          <cell r="AE5">
            <v>1</v>
          </cell>
          <cell r="AF5">
            <v>0</v>
          </cell>
          <cell r="AG5">
            <v>2</v>
          </cell>
          <cell r="AH5">
            <v>1</v>
          </cell>
          <cell r="AI5">
            <v>1</v>
          </cell>
          <cell r="AJ5">
            <v>1</v>
          </cell>
          <cell r="AK5">
            <v>2</v>
          </cell>
          <cell r="AL5">
            <v>0</v>
          </cell>
          <cell r="AM5">
            <v>2</v>
          </cell>
          <cell r="AN5">
            <v>1</v>
          </cell>
          <cell r="AO5">
            <v>1</v>
          </cell>
          <cell r="AP5">
            <v>3</v>
          </cell>
          <cell r="AQ5">
            <v>1</v>
          </cell>
          <cell r="AR5">
            <v>1</v>
          </cell>
          <cell r="AS5">
            <v>0</v>
          </cell>
          <cell r="AT5">
            <v>0</v>
          </cell>
          <cell r="AU5">
            <v>2</v>
          </cell>
          <cell r="AV5">
            <v>2</v>
          </cell>
          <cell r="AW5">
            <v>2</v>
          </cell>
          <cell r="AX5">
            <v>1</v>
          </cell>
          <cell r="AY5">
            <v>0</v>
          </cell>
          <cell r="AZ5">
            <v>0</v>
          </cell>
          <cell r="BA5">
            <v>0</v>
          </cell>
          <cell r="BB5">
            <v>1</v>
          </cell>
          <cell r="BC5">
            <v>3</v>
          </cell>
          <cell r="BD5">
            <v>1</v>
          </cell>
          <cell r="BE5">
            <v>2</v>
          </cell>
          <cell r="BF5">
            <v>0</v>
          </cell>
          <cell r="BG5">
            <v>1</v>
          </cell>
          <cell r="BH5">
            <v>3</v>
          </cell>
          <cell r="BI5">
            <v>3</v>
          </cell>
          <cell r="BJ5">
            <v>0</v>
          </cell>
          <cell r="BK5">
            <v>0</v>
          </cell>
          <cell r="BL5">
            <v>0</v>
          </cell>
          <cell r="BM5">
            <v>1</v>
          </cell>
          <cell r="BN5">
            <v>2</v>
          </cell>
          <cell r="BO5">
            <v>2</v>
          </cell>
          <cell r="BP5">
            <v>1</v>
          </cell>
          <cell r="BQ5">
            <v>2</v>
          </cell>
          <cell r="BR5">
            <v>2</v>
          </cell>
          <cell r="BS5">
            <v>2</v>
          </cell>
          <cell r="BT5">
            <v>1</v>
          </cell>
          <cell r="BU5">
            <v>0</v>
          </cell>
          <cell r="BV5">
            <v>2</v>
          </cell>
          <cell r="BW5">
            <v>0</v>
          </cell>
          <cell r="BX5">
            <v>2</v>
          </cell>
          <cell r="BY5">
            <v>1</v>
          </cell>
          <cell r="BZ5">
            <v>2</v>
          </cell>
          <cell r="CA5">
            <v>0</v>
          </cell>
          <cell r="CB5">
            <v>2</v>
          </cell>
          <cell r="CC5">
            <v>1</v>
          </cell>
          <cell r="CD5">
            <v>2</v>
          </cell>
          <cell r="CE5">
            <v>0</v>
          </cell>
          <cell r="CF5">
            <v>4</v>
          </cell>
          <cell r="CG5">
            <v>1</v>
          </cell>
          <cell r="CH5">
            <v>3</v>
          </cell>
          <cell r="CI5">
            <v>1</v>
          </cell>
          <cell r="CJ5">
            <v>2</v>
          </cell>
          <cell r="CK5">
            <v>2</v>
          </cell>
          <cell r="CL5">
            <v>1</v>
          </cell>
          <cell r="CM5">
            <v>1</v>
          </cell>
          <cell r="CN5">
            <v>1</v>
          </cell>
          <cell r="CO5">
            <v>0</v>
          </cell>
          <cell r="CP5">
            <v>2</v>
          </cell>
          <cell r="CQ5">
            <v>1</v>
          </cell>
          <cell r="CR5">
            <v>1</v>
          </cell>
          <cell r="CS5">
            <v>1</v>
          </cell>
          <cell r="CT5">
            <v>1</v>
          </cell>
          <cell r="CU5">
            <v>2</v>
          </cell>
          <cell r="CV5">
            <v>2</v>
          </cell>
          <cell r="CW5">
            <v>1</v>
          </cell>
          <cell r="CX5">
            <v>2</v>
          </cell>
          <cell r="CY5">
            <v>1</v>
          </cell>
          <cell r="CZ5">
            <v>0</v>
          </cell>
          <cell r="DA5">
            <v>2</v>
          </cell>
          <cell r="DB5">
            <v>1</v>
          </cell>
          <cell r="DC5">
            <v>2</v>
          </cell>
          <cell r="DD5">
            <v>1</v>
          </cell>
          <cell r="DE5">
            <v>1</v>
          </cell>
          <cell r="DF5">
            <v>0</v>
          </cell>
          <cell r="DG5">
            <v>3</v>
          </cell>
          <cell r="DH5">
            <v>2</v>
          </cell>
          <cell r="DI5">
            <v>0</v>
          </cell>
          <cell r="DJ5">
            <v>2</v>
          </cell>
          <cell r="DK5">
            <v>2</v>
          </cell>
          <cell r="DL5">
            <v>3</v>
          </cell>
          <cell r="DM5">
            <v>3</v>
          </cell>
          <cell r="DN5">
            <v>2</v>
          </cell>
          <cell r="DO5">
            <v>1</v>
          </cell>
          <cell r="DP5">
            <v>1</v>
          </cell>
          <cell r="DQ5">
            <v>2</v>
          </cell>
          <cell r="DR5">
            <v>1</v>
          </cell>
          <cell r="DS5">
            <v>2</v>
          </cell>
          <cell r="DT5">
            <v>1</v>
          </cell>
          <cell r="DU5">
            <v>1</v>
          </cell>
          <cell r="DV5">
            <v>1</v>
          </cell>
          <cell r="DW5">
            <v>2</v>
          </cell>
          <cell r="DX5">
            <v>1</v>
          </cell>
          <cell r="DY5">
            <v>1</v>
          </cell>
          <cell r="DZ5">
            <v>1</v>
          </cell>
        </row>
        <row r="6">
          <cell r="A6">
            <v>2</v>
          </cell>
          <cell r="B6" t="str">
            <v>Andres &amp; JuanB Harker</v>
          </cell>
          <cell r="C6">
            <v>2</v>
          </cell>
          <cell r="D6">
            <v>1</v>
          </cell>
          <cell r="E6">
            <v>1</v>
          </cell>
          <cell r="F6">
            <v>3</v>
          </cell>
          <cell r="G6">
            <v>0</v>
          </cell>
          <cell r="H6">
            <v>2</v>
          </cell>
          <cell r="I6">
            <v>1</v>
          </cell>
          <cell r="J6">
            <v>3</v>
          </cell>
          <cell r="K6">
            <v>3</v>
          </cell>
          <cell r="L6">
            <v>0</v>
          </cell>
          <cell r="M6">
            <v>2</v>
          </cell>
          <cell r="N6">
            <v>1</v>
          </cell>
          <cell r="O6">
            <v>2</v>
          </cell>
          <cell r="P6">
            <v>1</v>
          </cell>
          <cell r="Q6">
            <v>2</v>
          </cell>
          <cell r="R6">
            <v>1</v>
          </cell>
          <cell r="S6">
            <v>1</v>
          </cell>
          <cell r="T6">
            <v>1</v>
          </cell>
          <cell r="U6">
            <v>2</v>
          </cell>
          <cell r="V6">
            <v>2</v>
          </cell>
          <cell r="W6">
            <v>3</v>
          </cell>
          <cell r="X6">
            <v>0</v>
          </cell>
          <cell r="Y6">
            <v>2</v>
          </cell>
          <cell r="Z6">
            <v>1</v>
          </cell>
          <cell r="AA6">
            <v>3</v>
          </cell>
          <cell r="AB6">
            <v>0</v>
          </cell>
          <cell r="AC6">
            <v>0</v>
          </cell>
          <cell r="AD6">
            <v>4</v>
          </cell>
          <cell r="AE6">
            <v>2</v>
          </cell>
          <cell r="AF6">
            <v>2</v>
          </cell>
          <cell r="AG6">
            <v>2</v>
          </cell>
          <cell r="AH6">
            <v>0</v>
          </cell>
          <cell r="AI6">
            <v>1</v>
          </cell>
          <cell r="AJ6">
            <v>2</v>
          </cell>
          <cell r="AK6">
            <v>3</v>
          </cell>
          <cell r="AL6">
            <v>1</v>
          </cell>
          <cell r="AM6">
            <v>3</v>
          </cell>
          <cell r="AN6">
            <v>0</v>
          </cell>
          <cell r="AO6">
            <v>1</v>
          </cell>
          <cell r="AP6">
            <v>4</v>
          </cell>
          <cell r="AQ6">
            <v>1</v>
          </cell>
          <cell r="AR6">
            <v>1</v>
          </cell>
          <cell r="AS6">
            <v>2</v>
          </cell>
          <cell r="AT6">
            <v>0</v>
          </cell>
          <cell r="AU6">
            <v>3</v>
          </cell>
          <cell r="AV6">
            <v>0</v>
          </cell>
          <cell r="AW6">
            <v>3</v>
          </cell>
          <cell r="AX6">
            <v>0</v>
          </cell>
          <cell r="AY6">
            <v>1</v>
          </cell>
          <cell r="AZ6">
            <v>1</v>
          </cell>
          <cell r="BA6">
            <v>1</v>
          </cell>
          <cell r="BB6">
            <v>1</v>
          </cell>
          <cell r="BC6">
            <v>3</v>
          </cell>
          <cell r="BD6">
            <v>0</v>
          </cell>
          <cell r="BE6">
            <v>3</v>
          </cell>
          <cell r="BF6">
            <v>1</v>
          </cell>
          <cell r="BG6">
            <v>0</v>
          </cell>
          <cell r="BH6">
            <v>2</v>
          </cell>
          <cell r="BI6">
            <v>3</v>
          </cell>
          <cell r="BJ6">
            <v>1</v>
          </cell>
          <cell r="BK6">
            <v>1</v>
          </cell>
          <cell r="BL6">
            <v>2</v>
          </cell>
          <cell r="BM6">
            <v>1</v>
          </cell>
          <cell r="BN6">
            <v>3</v>
          </cell>
          <cell r="BO6">
            <v>2</v>
          </cell>
          <cell r="BP6">
            <v>1</v>
          </cell>
          <cell r="BQ6">
            <v>1</v>
          </cell>
          <cell r="BR6">
            <v>2</v>
          </cell>
          <cell r="BS6">
            <v>3</v>
          </cell>
          <cell r="BT6">
            <v>0</v>
          </cell>
          <cell r="BU6">
            <v>1</v>
          </cell>
          <cell r="BV6">
            <v>2</v>
          </cell>
          <cell r="BW6">
            <v>1</v>
          </cell>
          <cell r="BX6">
            <v>3</v>
          </cell>
          <cell r="BY6">
            <v>1</v>
          </cell>
          <cell r="BZ6">
            <v>2</v>
          </cell>
          <cell r="CA6">
            <v>0</v>
          </cell>
          <cell r="CB6">
            <v>1</v>
          </cell>
          <cell r="CC6">
            <v>1</v>
          </cell>
          <cell r="CD6">
            <v>1</v>
          </cell>
          <cell r="CE6">
            <v>0</v>
          </cell>
          <cell r="CF6">
            <v>3</v>
          </cell>
          <cell r="CG6">
            <v>2</v>
          </cell>
          <cell r="CH6">
            <v>2</v>
          </cell>
          <cell r="CI6">
            <v>0</v>
          </cell>
          <cell r="CJ6">
            <v>3</v>
          </cell>
          <cell r="CK6">
            <v>1</v>
          </cell>
          <cell r="CL6">
            <v>2</v>
          </cell>
          <cell r="CM6">
            <v>1</v>
          </cell>
          <cell r="CN6">
            <v>1</v>
          </cell>
          <cell r="CO6">
            <v>2</v>
          </cell>
          <cell r="CP6">
            <v>2</v>
          </cell>
          <cell r="CQ6">
            <v>1</v>
          </cell>
          <cell r="CR6">
            <v>2</v>
          </cell>
          <cell r="CS6">
            <v>2</v>
          </cell>
          <cell r="CT6">
            <v>1</v>
          </cell>
          <cell r="CU6">
            <v>2</v>
          </cell>
          <cell r="CV6">
            <v>1</v>
          </cell>
          <cell r="CW6">
            <v>2</v>
          </cell>
          <cell r="CX6">
            <v>0</v>
          </cell>
          <cell r="CY6">
            <v>3</v>
          </cell>
          <cell r="CZ6">
            <v>0</v>
          </cell>
          <cell r="DA6">
            <v>2</v>
          </cell>
          <cell r="DB6">
            <v>1</v>
          </cell>
          <cell r="DC6">
            <v>3</v>
          </cell>
          <cell r="DD6">
            <v>1</v>
          </cell>
          <cell r="DE6">
            <v>2</v>
          </cell>
          <cell r="DF6">
            <v>1</v>
          </cell>
          <cell r="DG6">
            <v>3</v>
          </cell>
          <cell r="DH6">
            <v>0</v>
          </cell>
          <cell r="DI6">
            <v>2</v>
          </cell>
          <cell r="DJ6">
            <v>2</v>
          </cell>
          <cell r="DK6">
            <v>0</v>
          </cell>
          <cell r="DL6">
            <v>1</v>
          </cell>
          <cell r="DM6">
            <v>2</v>
          </cell>
          <cell r="DN6">
            <v>0</v>
          </cell>
          <cell r="DO6">
            <v>2</v>
          </cell>
          <cell r="DP6">
            <v>0</v>
          </cell>
          <cell r="DQ6">
            <v>2</v>
          </cell>
          <cell r="DR6">
            <v>1</v>
          </cell>
          <cell r="DS6">
            <v>1</v>
          </cell>
          <cell r="DT6">
            <v>1</v>
          </cell>
          <cell r="DU6">
            <v>1</v>
          </cell>
          <cell r="DV6">
            <v>2</v>
          </cell>
          <cell r="DW6">
            <v>0</v>
          </cell>
          <cell r="DX6">
            <v>1</v>
          </cell>
          <cell r="DY6">
            <v>1</v>
          </cell>
          <cell r="DZ6">
            <v>1</v>
          </cell>
        </row>
        <row r="7">
          <cell r="A7">
            <v>3</v>
          </cell>
          <cell r="B7" t="str">
            <v>Alexandra &amp; Camilo</v>
          </cell>
          <cell r="C7">
            <v>2</v>
          </cell>
          <cell r="D7">
            <v>0</v>
          </cell>
          <cell r="E7">
            <v>0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3</v>
          </cell>
          <cell r="K7">
            <v>2</v>
          </cell>
          <cell r="L7">
            <v>1</v>
          </cell>
          <cell r="M7">
            <v>3</v>
          </cell>
          <cell r="N7">
            <v>0</v>
          </cell>
          <cell r="O7">
            <v>2</v>
          </cell>
          <cell r="P7">
            <v>1</v>
          </cell>
          <cell r="Q7">
            <v>2</v>
          </cell>
          <cell r="R7">
            <v>1</v>
          </cell>
          <cell r="S7">
            <v>1</v>
          </cell>
          <cell r="T7">
            <v>0</v>
          </cell>
          <cell r="U7">
            <v>2</v>
          </cell>
          <cell r="V7">
            <v>1</v>
          </cell>
          <cell r="W7">
            <v>3</v>
          </cell>
          <cell r="X7">
            <v>0</v>
          </cell>
          <cell r="Y7">
            <v>1</v>
          </cell>
          <cell r="Z7">
            <v>1</v>
          </cell>
          <cell r="AA7">
            <v>2</v>
          </cell>
          <cell r="AB7">
            <v>0</v>
          </cell>
          <cell r="AC7">
            <v>0</v>
          </cell>
          <cell r="AD7">
            <v>1</v>
          </cell>
          <cell r="AE7">
            <v>2</v>
          </cell>
          <cell r="AF7">
            <v>0</v>
          </cell>
          <cell r="AG7">
            <v>1</v>
          </cell>
          <cell r="AH7">
            <v>0</v>
          </cell>
          <cell r="AI7">
            <v>1</v>
          </cell>
          <cell r="AJ7">
            <v>1</v>
          </cell>
          <cell r="AK7">
            <v>2</v>
          </cell>
          <cell r="AL7">
            <v>0</v>
          </cell>
          <cell r="AM7">
            <v>3</v>
          </cell>
          <cell r="AN7">
            <v>0</v>
          </cell>
          <cell r="AO7">
            <v>0</v>
          </cell>
          <cell r="AP7">
            <v>4</v>
          </cell>
          <cell r="AQ7">
            <v>1</v>
          </cell>
          <cell r="AR7">
            <v>1</v>
          </cell>
          <cell r="AS7">
            <v>2</v>
          </cell>
          <cell r="AT7">
            <v>2</v>
          </cell>
          <cell r="AU7">
            <v>2</v>
          </cell>
          <cell r="AV7">
            <v>1</v>
          </cell>
          <cell r="AW7">
            <v>3</v>
          </cell>
          <cell r="AX7">
            <v>1</v>
          </cell>
          <cell r="AY7">
            <v>0</v>
          </cell>
          <cell r="AZ7">
            <v>1</v>
          </cell>
          <cell r="BA7">
            <v>0</v>
          </cell>
          <cell r="BB7">
            <v>1</v>
          </cell>
          <cell r="BC7">
            <v>3</v>
          </cell>
          <cell r="BD7">
            <v>1</v>
          </cell>
          <cell r="BE7">
            <v>2</v>
          </cell>
          <cell r="BF7">
            <v>0</v>
          </cell>
          <cell r="BG7">
            <v>1</v>
          </cell>
          <cell r="BH7">
            <v>2</v>
          </cell>
          <cell r="BI7">
            <v>2</v>
          </cell>
          <cell r="BJ7">
            <v>1</v>
          </cell>
          <cell r="BK7">
            <v>1</v>
          </cell>
          <cell r="BL7">
            <v>1</v>
          </cell>
          <cell r="BM7">
            <v>2</v>
          </cell>
          <cell r="BN7">
            <v>2</v>
          </cell>
          <cell r="BO7">
            <v>2</v>
          </cell>
          <cell r="BP7">
            <v>0</v>
          </cell>
          <cell r="BQ7">
            <v>0</v>
          </cell>
          <cell r="BR7">
            <v>0</v>
          </cell>
          <cell r="BS7">
            <v>2</v>
          </cell>
          <cell r="BT7">
            <v>0</v>
          </cell>
          <cell r="BU7">
            <v>1</v>
          </cell>
          <cell r="BV7">
            <v>2</v>
          </cell>
          <cell r="BW7">
            <v>0</v>
          </cell>
          <cell r="BX7">
            <v>2</v>
          </cell>
          <cell r="BY7">
            <v>0</v>
          </cell>
          <cell r="BZ7">
            <v>1</v>
          </cell>
          <cell r="CA7">
            <v>1</v>
          </cell>
          <cell r="CB7">
            <v>1</v>
          </cell>
          <cell r="CC7">
            <v>1</v>
          </cell>
          <cell r="CD7">
            <v>3</v>
          </cell>
          <cell r="CE7">
            <v>1</v>
          </cell>
          <cell r="CF7">
            <v>3</v>
          </cell>
          <cell r="CG7">
            <v>1</v>
          </cell>
          <cell r="CH7">
            <v>1</v>
          </cell>
          <cell r="CI7">
            <v>1</v>
          </cell>
          <cell r="CJ7">
            <v>2</v>
          </cell>
          <cell r="CK7">
            <v>1</v>
          </cell>
          <cell r="CL7">
            <v>1</v>
          </cell>
          <cell r="CM7">
            <v>1</v>
          </cell>
          <cell r="CN7">
            <v>2</v>
          </cell>
          <cell r="CO7">
            <v>1</v>
          </cell>
          <cell r="CP7">
            <v>2</v>
          </cell>
          <cell r="CQ7">
            <v>0</v>
          </cell>
          <cell r="CR7">
            <v>1</v>
          </cell>
          <cell r="CS7">
            <v>1</v>
          </cell>
          <cell r="CT7">
            <v>0</v>
          </cell>
          <cell r="CU7">
            <v>3</v>
          </cell>
          <cell r="CV7">
            <v>0</v>
          </cell>
          <cell r="CW7">
            <v>1</v>
          </cell>
          <cell r="CX7">
            <v>2</v>
          </cell>
          <cell r="CY7">
            <v>4</v>
          </cell>
          <cell r="CZ7">
            <v>1</v>
          </cell>
          <cell r="DA7">
            <v>2</v>
          </cell>
          <cell r="DB7">
            <v>1</v>
          </cell>
          <cell r="DC7">
            <v>4</v>
          </cell>
          <cell r="DD7">
            <v>1</v>
          </cell>
          <cell r="DE7">
            <v>1</v>
          </cell>
          <cell r="DF7">
            <v>2</v>
          </cell>
          <cell r="DG7">
            <v>4</v>
          </cell>
          <cell r="DH7">
            <v>0</v>
          </cell>
          <cell r="DI7">
            <v>2</v>
          </cell>
          <cell r="DJ7">
            <v>1</v>
          </cell>
          <cell r="DK7">
            <v>3</v>
          </cell>
          <cell r="DL7">
            <v>1</v>
          </cell>
          <cell r="DM7">
            <v>2</v>
          </cell>
          <cell r="DN7">
            <v>1</v>
          </cell>
          <cell r="DO7">
            <v>1</v>
          </cell>
          <cell r="DP7">
            <v>0</v>
          </cell>
          <cell r="DQ7">
            <v>1</v>
          </cell>
          <cell r="DR7">
            <v>2</v>
          </cell>
          <cell r="DS7">
            <v>1</v>
          </cell>
          <cell r="DT7">
            <v>3</v>
          </cell>
          <cell r="DU7">
            <v>0</v>
          </cell>
          <cell r="DV7">
            <v>1</v>
          </cell>
          <cell r="DW7">
            <v>1</v>
          </cell>
          <cell r="DX7">
            <v>2</v>
          </cell>
          <cell r="DY7">
            <v>0</v>
          </cell>
          <cell r="DZ7">
            <v>1</v>
          </cell>
        </row>
        <row r="8">
          <cell r="A8">
            <v>4</v>
          </cell>
          <cell r="B8" t="str">
            <v>Pierre &amp; Magdalena</v>
          </cell>
          <cell r="C8">
            <v>2</v>
          </cell>
          <cell r="D8">
            <v>1</v>
          </cell>
          <cell r="E8">
            <v>0</v>
          </cell>
          <cell r="F8">
            <v>1</v>
          </cell>
          <cell r="G8">
            <v>2</v>
          </cell>
          <cell r="H8">
            <v>3</v>
          </cell>
          <cell r="I8">
            <v>2</v>
          </cell>
          <cell r="J8">
            <v>3</v>
          </cell>
          <cell r="K8">
            <v>4</v>
          </cell>
          <cell r="L8">
            <v>0</v>
          </cell>
          <cell r="M8">
            <v>2</v>
          </cell>
          <cell r="N8">
            <v>0</v>
          </cell>
          <cell r="O8">
            <v>2</v>
          </cell>
          <cell r="P8">
            <v>1</v>
          </cell>
          <cell r="Q8">
            <v>1</v>
          </cell>
          <cell r="R8">
            <v>2</v>
          </cell>
          <cell r="S8">
            <v>3</v>
          </cell>
          <cell r="T8">
            <v>1</v>
          </cell>
          <cell r="U8">
            <v>2</v>
          </cell>
          <cell r="V8">
            <v>1</v>
          </cell>
          <cell r="W8">
            <v>4</v>
          </cell>
          <cell r="X8">
            <v>0</v>
          </cell>
          <cell r="Y8">
            <v>1</v>
          </cell>
          <cell r="Z8">
            <v>0</v>
          </cell>
          <cell r="AA8">
            <v>2</v>
          </cell>
          <cell r="AB8">
            <v>0</v>
          </cell>
          <cell r="AC8">
            <v>1</v>
          </cell>
          <cell r="AD8">
            <v>2</v>
          </cell>
          <cell r="AE8">
            <v>0</v>
          </cell>
          <cell r="AF8">
            <v>0</v>
          </cell>
          <cell r="AG8">
            <v>2</v>
          </cell>
          <cell r="AH8">
            <v>1</v>
          </cell>
          <cell r="AI8">
            <v>3</v>
          </cell>
          <cell r="AJ8">
            <v>1</v>
          </cell>
          <cell r="AK8">
            <v>5</v>
          </cell>
          <cell r="AL8">
            <v>0</v>
          </cell>
          <cell r="AM8">
            <v>1</v>
          </cell>
          <cell r="AN8">
            <v>1</v>
          </cell>
          <cell r="AO8">
            <v>1</v>
          </cell>
          <cell r="AP8">
            <v>3</v>
          </cell>
          <cell r="AQ8">
            <v>3</v>
          </cell>
          <cell r="AR8">
            <v>1</v>
          </cell>
          <cell r="AS8">
            <v>1</v>
          </cell>
          <cell r="AT8">
            <v>1</v>
          </cell>
          <cell r="AU8">
            <v>2</v>
          </cell>
          <cell r="AV8">
            <v>1</v>
          </cell>
          <cell r="AW8">
            <v>2</v>
          </cell>
          <cell r="AX8">
            <v>1</v>
          </cell>
          <cell r="AY8">
            <v>3</v>
          </cell>
          <cell r="AZ8">
            <v>1</v>
          </cell>
          <cell r="BA8">
            <v>0</v>
          </cell>
          <cell r="BB8">
            <v>1</v>
          </cell>
          <cell r="BC8">
            <v>3</v>
          </cell>
          <cell r="BD8">
            <v>0</v>
          </cell>
          <cell r="BE8">
            <v>2</v>
          </cell>
          <cell r="BF8">
            <v>0</v>
          </cell>
          <cell r="BG8">
            <v>1</v>
          </cell>
          <cell r="BH8">
            <v>1</v>
          </cell>
          <cell r="BI8">
            <v>2</v>
          </cell>
          <cell r="BJ8">
            <v>1</v>
          </cell>
          <cell r="BK8">
            <v>1</v>
          </cell>
          <cell r="BL8">
            <v>0</v>
          </cell>
          <cell r="BM8">
            <v>1</v>
          </cell>
          <cell r="BN8">
            <v>2</v>
          </cell>
          <cell r="BO8">
            <v>2</v>
          </cell>
          <cell r="BP8">
            <v>0</v>
          </cell>
          <cell r="BQ8">
            <v>2</v>
          </cell>
          <cell r="BR8">
            <v>1</v>
          </cell>
          <cell r="BS8">
            <v>3</v>
          </cell>
          <cell r="BT8">
            <v>0</v>
          </cell>
          <cell r="BU8">
            <v>1</v>
          </cell>
          <cell r="BV8">
            <v>3</v>
          </cell>
          <cell r="BW8">
            <v>1</v>
          </cell>
          <cell r="BX8">
            <v>2</v>
          </cell>
          <cell r="BY8">
            <v>0</v>
          </cell>
          <cell r="BZ8">
            <v>1</v>
          </cell>
          <cell r="CA8">
            <v>0</v>
          </cell>
          <cell r="CB8">
            <v>1</v>
          </cell>
          <cell r="CC8">
            <v>1</v>
          </cell>
          <cell r="CD8">
            <v>1</v>
          </cell>
          <cell r="CE8">
            <v>0</v>
          </cell>
          <cell r="CF8">
            <v>3</v>
          </cell>
          <cell r="CG8">
            <v>1</v>
          </cell>
          <cell r="CH8">
            <v>0</v>
          </cell>
          <cell r="CI8">
            <v>0</v>
          </cell>
          <cell r="CJ8">
            <v>2</v>
          </cell>
          <cell r="CK8">
            <v>1</v>
          </cell>
          <cell r="CL8">
            <v>1</v>
          </cell>
          <cell r="CM8">
            <v>1</v>
          </cell>
          <cell r="CN8">
            <v>2</v>
          </cell>
          <cell r="CO8">
            <v>1</v>
          </cell>
          <cell r="CP8">
            <v>2</v>
          </cell>
          <cell r="CQ8">
            <v>1</v>
          </cell>
          <cell r="CR8">
            <v>1</v>
          </cell>
          <cell r="CS8">
            <v>1</v>
          </cell>
          <cell r="CT8">
            <v>1</v>
          </cell>
          <cell r="CU8">
            <v>3</v>
          </cell>
          <cell r="CV8">
            <v>1</v>
          </cell>
          <cell r="CW8">
            <v>1</v>
          </cell>
          <cell r="CX8">
            <v>2</v>
          </cell>
          <cell r="CY8">
            <v>2</v>
          </cell>
          <cell r="CZ8">
            <v>0</v>
          </cell>
          <cell r="DA8">
            <v>2</v>
          </cell>
          <cell r="DB8">
            <v>1</v>
          </cell>
          <cell r="DC8">
            <v>3</v>
          </cell>
          <cell r="DD8">
            <v>1</v>
          </cell>
          <cell r="DE8">
            <v>1</v>
          </cell>
          <cell r="DF8">
            <v>0</v>
          </cell>
          <cell r="DG8">
            <v>2</v>
          </cell>
          <cell r="DH8">
            <v>0</v>
          </cell>
          <cell r="DI8">
            <v>2</v>
          </cell>
          <cell r="DJ8">
            <v>1</v>
          </cell>
          <cell r="DK8">
            <v>1</v>
          </cell>
          <cell r="DL8">
            <v>0</v>
          </cell>
          <cell r="DM8">
            <v>2</v>
          </cell>
          <cell r="DN8">
            <v>1</v>
          </cell>
          <cell r="DO8">
            <v>1</v>
          </cell>
          <cell r="DP8">
            <v>0</v>
          </cell>
          <cell r="DQ8">
            <v>2</v>
          </cell>
          <cell r="DR8">
            <v>1</v>
          </cell>
          <cell r="DS8">
            <v>1</v>
          </cell>
          <cell r="DT8">
            <v>2</v>
          </cell>
          <cell r="DU8">
            <v>3</v>
          </cell>
          <cell r="DV8">
            <v>1</v>
          </cell>
          <cell r="DW8">
            <v>1</v>
          </cell>
          <cell r="DX8">
            <v>1</v>
          </cell>
          <cell r="DY8">
            <v>2</v>
          </cell>
          <cell r="DZ8">
            <v>1</v>
          </cell>
        </row>
        <row r="9">
          <cell r="A9">
            <v>5</v>
          </cell>
          <cell r="B9" t="str">
            <v>Fernando Yañez</v>
          </cell>
          <cell r="C9">
            <v>3</v>
          </cell>
          <cell r="D9">
            <v>1</v>
          </cell>
          <cell r="E9">
            <v>1</v>
          </cell>
          <cell r="F9">
            <v>2</v>
          </cell>
          <cell r="G9">
            <v>2</v>
          </cell>
          <cell r="H9">
            <v>1</v>
          </cell>
          <cell r="I9">
            <v>2</v>
          </cell>
          <cell r="J9">
            <v>1</v>
          </cell>
          <cell r="K9">
            <v>2</v>
          </cell>
          <cell r="L9">
            <v>0</v>
          </cell>
          <cell r="M9">
            <v>2</v>
          </cell>
          <cell r="N9">
            <v>0</v>
          </cell>
          <cell r="O9">
            <v>1</v>
          </cell>
          <cell r="P9">
            <v>0</v>
          </cell>
          <cell r="Q9">
            <v>2</v>
          </cell>
          <cell r="R9">
            <v>0</v>
          </cell>
          <cell r="S9">
            <v>1</v>
          </cell>
          <cell r="T9">
            <v>1</v>
          </cell>
          <cell r="U9">
            <v>3</v>
          </cell>
          <cell r="V9">
            <v>1</v>
          </cell>
          <cell r="W9">
            <v>2</v>
          </cell>
          <cell r="X9">
            <v>0</v>
          </cell>
          <cell r="Y9">
            <v>2</v>
          </cell>
          <cell r="Z9">
            <v>0</v>
          </cell>
          <cell r="AA9">
            <v>1</v>
          </cell>
          <cell r="AB9">
            <v>0</v>
          </cell>
          <cell r="AC9">
            <v>0</v>
          </cell>
          <cell r="AD9">
            <v>3</v>
          </cell>
          <cell r="AE9">
            <v>0</v>
          </cell>
          <cell r="AF9">
            <v>0</v>
          </cell>
          <cell r="AG9">
            <v>2</v>
          </cell>
          <cell r="AH9">
            <v>1</v>
          </cell>
          <cell r="AI9">
            <v>1</v>
          </cell>
          <cell r="AJ9">
            <v>1</v>
          </cell>
          <cell r="AK9">
            <v>3</v>
          </cell>
          <cell r="AL9">
            <v>0</v>
          </cell>
          <cell r="AM9">
            <v>3</v>
          </cell>
          <cell r="AN9">
            <v>0</v>
          </cell>
          <cell r="AO9">
            <v>0</v>
          </cell>
          <cell r="AP9">
            <v>2</v>
          </cell>
          <cell r="AQ9">
            <v>1</v>
          </cell>
          <cell r="AR9">
            <v>1</v>
          </cell>
          <cell r="AS9">
            <v>2</v>
          </cell>
          <cell r="AT9">
            <v>0</v>
          </cell>
          <cell r="AU9">
            <v>1</v>
          </cell>
          <cell r="AV9">
            <v>1</v>
          </cell>
          <cell r="AW9">
            <v>3</v>
          </cell>
          <cell r="AX9">
            <v>0</v>
          </cell>
          <cell r="AY9">
            <v>1</v>
          </cell>
          <cell r="AZ9">
            <v>0</v>
          </cell>
          <cell r="BA9">
            <v>1</v>
          </cell>
          <cell r="BB9">
            <v>1</v>
          </cell>
          <cell r="BC9">
            <v>2</v>
          </cell>
          <cell r="BD9">
            <v>1</v>
          </cell>
          <cell r="BE9">
            <v>2</v>
          </cell>
          <cell r="BF9">
            <v>0</v>
          </cell>
          <cell r="BG9">
            <v>1</v>
          </cell>
          <cell r="BH9">
            <v>0</v>
          </cell>
          <cell r="BI9">
            <v>3</v>
          </cell>
          <cell r="BJ9">
            <v>1</v>
          </cell>
          <cell r="BK9">
            <v>1</v>
          </cell>
          <cell r="BL9">
            <v>1</v>
          </cell>
          <cell r="BM9">
            <v>1</v>
          </cell>
          <cell r="BN9">
            <v>3</v>
          </cell>
          <cell r="BO9">
            <v>2</v>
          </cell>
          <cell r="BP9">
            <v>1</v>
          </cell>
          <cell r="BQ9">
            <v>1</v>
          </cell>
          <cell r="BR9">
            <v>1</v>
          </cell>
          <cell r="BS9">
            <v>2</v>
          </cell>
          <cell r="BT9">
            <v>1</v>
          </cell>
          <cell r="BU9">
            <v>1</v>
          </cell>
          <cell r="BV9">
            <v>2</v>
          </cell>
          <cell r="BW9">
            <v>1</v>
          </cell>
          <cell r="BX9">
            <v>3</v>
          </cell>
          <cell r="BY9">
            <v>1</v>
          </cell>
          <cell r="BZ9">
            <v>2</v>
          </cell>
          <cell r="CA9">
            <v>1</v>
          </cell>
          <cell r="CB9">
            <v>2</v>
          </cell>
          <cell r="CC9">
            <v>1</v>
          </cell>
          <cell r="CD9">
            <v>1</v>
          </cell>
          <cell r="CE9">
            <v>0</v>
          </cell>
          <cell r="CF9">
            <v>3</v>
          </cell>
          <cell r="CG9">
            <v>2</v>
          </cell>
          <cell r="CH9">
            <v>2</v>
          </cell>
          <cell r="CI9">
            <v>1</v>
          </cell>
          <cell r="CJ9">
            <v>3</v>
          </cell>
          <cell r="CK9">
            <v>2</v>
          </cell>
          <cell r="CL9">
            <v>1</v>
          </cell>
          <cell r="CM9">
            <v>1</v>
          </cell>
          <cell r="CN9">
            <v>2</v>
          </cell>
          <cell r="CO9">
            <v>1</v>
          </cell>
          <cell r="CP9">
            <v>3</v>
          </cell>
          <cell r="CQ9">
            <v>2</v>
          </cell>
          <cell r="CR9">
            <v>0</v>
          </cell>
          <cell r="CS9">
            <v>1</v>
          </cell>
          <cell r="CT9">
            <v>1</v>
          </cell>
          <cell r="CU9">
            <v>2</v>
          </cell>
          <cell r="CV9">
            <v>1</v>
          </cell>
          <cell r="CW9">
            <v>1</v>
          </cell>
          <cell r="CX9">
            <v>2</v>
          </cell>
          <cell r="CY9">
            <v>1</v>
          </cell>
          <cell r="CZ9">
            <v>0</v>
          </cell>
          <cell r="DA9">
            <v>2</v>
          </cell>
          <cell r="DB9">
            <v>0</v>
          </cell>
          <cell r="DC9">
            <v>3</v>
          </cell>
          <cell r="DD9">
            <v>1</v>
          </cell>
          <cell r="DE9">
            <v>1</v>
          </cell>
          <cell r="DF9">
            <v>0</v>
          </cell>
          <cell r="DG9">
            <v>3</v>
          </cell>
          <cell r="DH9">
            <v>0</v>
          </cell>
          <cell r="DI9">
            <v>2</v>
          </cell>
          <cell r="DJ9">
            <v>1</v>
          </cell>
          <cell r="DK9">
            <v>2</v>
          </cell>
          <cell r="DL9">
            <v>1</v>
          </cell>
          <cell r="DM9">
            <v>3</v>
          </cell>
          <cell r="DN9">
            <v>1</v>
          </cell>
          <cell r="DO9">
            <v>2</v>
          </cell>
          <cell r="DP9">
            <v>0</v>
          </cell>
          <cell r="DQ9">
            <v>1</v>
          </cell>
          <cell r="DR9">
            <v>0</v>
          </cell>
          <cell r="DS9">
            <v>1</v>
          </cell>
          <cell r="DT9">
            <v>2</v>
          </cell>
          <cell r="DU9">
            <v>2</v>
          </cell>
          <cell r="DV9">
            <v>0</v>
          </cell>
          <cell r="DW9">
            <v>1</v>
          </cell>
          <cell r="DX9">
            <v>0</v>
          </cell>
          <cell r="DY9">
            <v>2</v>
          </cell>
          <cell r="DZ9">
            <v>2</v>
          </cell>
        </row>
        <row r="10">
          <cell r="A10">
            <v>6</v>
          </cell>
          <cell r="B10" t="str">
            <v>Gonzalo Fonseca</v>
          </cell>
          <cell r="C10">
            <v>2</v>
          </cell>
          <cell r="D10">
            <v>1</v>
          </cell>
          <cell r="E10">
            <v>0</v>
          </cell>
          <cell r="F10">
            <v>2</v>
          </cell>
          <cell r="G10">
            <v>3</v>
          </cell>
          <cell r="H10">
            <v>1</v>
          </cell>
          <cell r="I10">
            <v>1</v>
          </cell>
          <cell r="J10">
            <v>3</v>
          </cell>
          <cell r="K10">
            <v>3</v>
          </cell>
          <cell r="L10">
            <v>0</v>
          </cell>
          <cell r="M10">
            <v>2</v>
          </cell>
          <cell r="N10">
            <v>1</v>
          </cell>
          <cell r="O10">
            <v>1</v>
          </cell>
          <cell r="P10">
            <v>1</v>
          </cell>
          <cell r="Q10">
            <v>2</v>
          </cell>
          <cell r="R10">
            <v>2</v>
          </cell>
          <cell r="S10">
            <v>1</v>
          </cell>
          <cell r="T10">
            <v>3</v>
          </cell>
          <cell r="U10">
            <v>3</v>
          </cell>
          <cell r="V10">
            <v>0</v>
          </cell>
          <cell r="W10">
            <v>2</v>
          </cell>
          <cell r="X10">
            <v>0</v>
          </cell>
          <cell r="Y10">
            <v>1</v>
          </cell>
          <cell r="Z10">
            <v>1</v>
          </cell>
          <cell r="AA10">
            <v>3</v>
          </cell>
          <cell r="AB10">
            <v>0</v>
          </cell>
          <cell r="AC10">
            <v>0</v>
          </cell>
          <cell r="AD10">
            <v>2</v>
          </cell>
          <cell r="AE10">
            <v>2</v>
          </cell>
          <cell r="AF10">
            <v>1</v>
          </cell>
          <cell r="AG10">
            <v>2</v>
          </cell>
          <cell r="AH10">
            <v>0</v>
          </cell>
          <cell r="AI10">
            <v>1</v>
          </cell>
          <cell r="AJ10">
            <v>1</v>
          </cell>
          <cell r="AK10">
            <v>2</v>
          </cell>
          <cell r="AL10">
            <v>0</v>
          </cell>
          <cell r="AM10">
            <v>2</v>
          </cell>
          <cell r="AN10">
            <v>1</v>
          </cell>
          <cell r="AO10">
            <v>1</v>
          </cell>
          <cell r="AP10">
            <v>3</v>
          </cell>
          <cell r="AQ10">
            <v>2</v>
          </cell>
          <cell r="AR10">
            <v>0</v>
          </cell>
          <cell r="AS10">
            <v>2</v>
          </cell>
          <cell r="AT10">
            <v>1</v>
          </cell>
          <cell r="AU10">
            <v>2</v>
          </cell>
          <cell r="AV10">
            <v>1</v>
          </cell>
          <cell r="AW10">
            <v>3</v>
          </cell>
          <cell r="AX10">
            <v>0</v>
          </cell>
          <cell r="AY10">
            <v>0</v>
          </cell>
          <cell r="AZ10">
            <v>1</v>
          </cell>
          <cell r="BA10">
            <v>1</v>
          </cell>
          <cell r="BB10">
            <v>2</v>
          </cell>
          <cell r="BC10">
            <v>2</v>
          </cell>
          <cell r="BD10">
            <v>0</v>
          </cell>
          <cell r="BE10">
            <v>2</v>
          </cell>
          <cell r="BF10">
            <v>1</v>
          </cell>
          <cell r="BG10">
            <v>2</v>
          </cell>
          <cell r="BH10">
            <v>1</v>
          </cell>
          <cell r="BI10">
            <v>3</v>
          </cell>
          <cell r="BJ10">
            <v>1</v>
          </cell>
          <cell r="BK10">
            <v>1</v>
          </cell>
          <cell r="BL10">
            <v>1</v>
          </cell>
          <cell r="BM10">
            <v>1</v>
          </cell>
          <cell r="BN10">
            <v>2</v>
          </cell>
          <cell r="BO10">
            <v>1</v>
          </cell>
          <cell r="BP10">
            <v>0</v>
          </cell>
          <cell r="BQ10">
            <v>2</v>
          </cell>
          <cell r="BR10">
            <v>1</v>
          </cell>
          <cell r="BS10">
            <v>2</v>
          </cell>
          <cell r="BT10">
            <v>0</v>
          </cell>
          <cell r="BU10">
            <v>1</v>
          </cell>
          <cell r="BV10">
            <v>2</v>
          </cell>
          <cell r="BW10">
            <v>1</v>
          </cell>
          <cell r="BX10">
            <v>3</v>
          </cell>
          <cell r="BY10">
            <v>1</v>
          </cell>
          <cell r="BZ10">
            <v>2</v>
          </cell>
          <cell r="CA10">
            <v>1</v>
          </cell>
          <cell r="CB10">
            <v>1</v>
          </cell>
          <cell r="CC10">
            <v>1</v>
          </cell>
          <cell r="CD10">
            <v>2</v>
          </cell>
          <cell r="CE10">
            <v>1</v>
          </cell>
          <cell r="CF10">
            <v>2</v>
          </cell>
          <cell r="CG10">
            <v>1</v>
          </cell>
          <cell r="CH10">
            <v>0</v>
          </cell>
          <cell r="CI10">
            <v>0</v>
          </cell>
          <cell r="CJ10">
            <v>3</v>
          </cell>
          <cell r="CK10">
            <v>2</v>
          </cell>
          <cell r="CL10">
            <v>0</v>
          </cell>
          <cell r="CM10">
            <v>0</v>
          </cell>
          <cell r="CN10">
            <v>1</v>
          </cell>
          <cell r="CO10">
            <v>1</v>
          </cell>
          <cell r="CP10">
            <v>3</v>
          </cell>
          <cell r="CQ10">
            <v>2</v>
          </cell>
          <cell r="CR10">
            <v>2</v>
          </cell>
          <cell r="CS10">
            <v>1</v>
          </cell>
          <cell r="CT10">
            <v>1</v>
          </cell>
          <cell r="CU10">
            <v>3</v>
          </cell>
          <cell r="CV10">
            <v>0</v>
          </cell>
          <cell r="CW10">
            <v>2</v>
          </cell>
          <cell r="CX10">
            <v>1</v>
          </cell>
          <cell r="CY10">
            <v>3</v>
          </cell>
          <cell r="CZ10">
            <v>0</v>
          </cell>
          <cell r="DA10">
            <v>3</v>
          </cell>
          <cell r="DB10">
            <v>1</v>
          </cell>
          <cell r="DC10">
            <v>3</v>
          </cell>
          <cell r="DD10">
            <v>0</v>
          </cell>
          <cell r="DE10">
            <v>2</v>
          </cell>
          <cell r="DF10">
            <v>1</v>
          </cell>
          <cell r="DG10">
            <v>4</v>
          </cell>
          <cell r="DH10">
            <v>1</v>
          </cell>
          <cell r="DI10">
            <v>2</v>
          </cell>
          <cell r="DJ10">
            <v>1</v>
          </cell>
          <cell r="DK10">
            <v>2</v>
          </cell>
          <cell r="DL10">
            <v>1</v>
          </cell>
          <cell r="DM10">
            <v>3</v>
          </cell>
          <cell r="DN10">
            <v>1</v>
          </cell>
          <cell r="DO10">
            <v>3</v>
          </cell>
          <cell r="DP10">
            <v>0</v>
          </cell>
          <cell r="DQ10">
            <v>2</v>
          </cell>
          <cell r="DR10">
            <v>1</v>
          </cell>
          <cell r="DS10">
            <v>2</v>
          </cell>
          <cell r="DT10">
            <v>3</v>
          </cell>
          <cell r="DU10">
            <v>3</v>
          </cell>
          <cell r="DV10">
            <v>1</v>
          </cell>
          <cell r="DW10">
            <v>2</v>
          </cell>
          <cell r="DX10">
            <v>1</v>
          </cell>
          <cell r="DY10">
            <v>3</v>
          </cell>
          <cell r="DZ10">
            <v>2</v>
          </cell>
        </row>
        <row r="11">
          <cell r="A11">
            <v>7</v>
          </cell>
          <cell r="B11" t="str">
            <v>Juan Kiko Harker</v>
          </cell>
          <cell r="C11">
            <v>3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1</v>
          </cell>
          <cell r="I11">
            <v>1</v>
          </cell>
          <cell r="J11">
            <v>2</v>
          </cell>
          <cell r="K11">
            <v>3</v>
          </cell>
          <cell r="L11">
            <v>0</v>
          </cell>
          <cell r="M11">
            <v>3</v>
          </cell>
          <cell r="N11">
            <v>0</v>
          </cell>
          <cell r="O11">
            <v>1</v>
          </cell>
          <cell r="P11">
            <v>2</v>
          </cell>
          <cell r="Q11">
            <v>2</v>
          </cell>
          <cell r="R11">
            <v>1</v>
          </cell>
          <cell r="S11">
            <v>0</v>
          </cell>
          <cell r="T11">
            <v>2</v>
          </cell>
          <cell r="U11">
            <v>2</v>
          </cell>
          <cell r="V11">
            <v>0</v>
          </cell>
          <cell r="W11">
            <v>2</v>
          </cell>
          <cell r="X11">
            <v>1</v>
          </cell>
          <cell r="Y11">
            <v>2</v>
          </cell>
          <cell r="Z11">
            <v>0</v>
          </cell>
          <cell r="AA11">
            <v>3</v>
          </cell>
          <cell r="AB11">
            <v>1</v>
          </cell>
          <cell r="AC11">
            <v>0</v>
          </cell>
          <cell r="AD11">
            <v>3</v>
          </cell>
          <cell r="AE11">
            <v>2</v>
          </cell>
          <cell r="AF11">
            <v>0</v>
          </cell>
          <cell r="AG11">
            <v>1</v>
          </cell>
          <cell r="AH11">
            <v>1</v>
          </cell>
          <cell r="AI11">
            <v>2</v>
          </cell>
          <cell r="AJ11">
            <v>1</v>
          </cell>
          <cell r="AK11">
            <v>3</v>
          </cell>
          <cell r="AL11">
            <v>0</v>
          </cell>
          <cell r="AM11">
            <v>4</v>
          </cell>
          <cell r="AN11">
            <v>0</v>
          </cell>
          <cell r="AO11">
            <v>0</v>
          </cell>
          <cell r="AP11">
            <v>3</v>
          </cell>
          <cell r="AQ11">
            <v>3</v>
          </cell>
          <cell r="AR11">
            <v>1</v>
          </cell>
          <cell r="AS11">
            <v>2</v>
          </cell>
          <cell r="AT11">
            <v>0</v>
          </cell>
          <cell r="AU11">
            <v>2</v>
          </cell>
          <cell r="AV11">
            <v>1</v>
          </cell>
          <cell r="AW11">
            <v>3</v>
          </cell>
          <cell r="AX11">
            <v>0</v>
          </cell>
          <cell r="AY11">
            <v>2</v>
          </cell>
          <cell r="AZ11">
            <v>0</v>
          </cell>
          <cell r="BA11">
            <v>2</v>
          </cell>
          <cell r="BB11">
            <v>1</v>
          </cell>
          <cell r="BC11">
            <v>2</v>
          </cell>
          <cell r="BD11">
            <v>0</v>
          </cell>
          <cell r="BE11">
            <v>2</v>
          </cell>
          <cell r="BF11">
            <v>0</v>
          </cell>
          <cell r="BG11">
            <v>1</v>
          </cell>
          <cell r="BH11">
            <v>1</v>
          </cell>
          <cell r="BI11">
            <v>2</v>
          </cell>
          <cell r="BJ11">
            <v>0</v>
          </cell>
          <cell r="BK11">
            <v>1</v>
          </cell>
          <cell r="BL11">
            <v>1</v>
          </cell>
          <cell r="BM11">
            <v>2</v>
          </cell>
          <cell r="BN11">
            <v>1</v>
          </cell>
          <cell r="BO11">
            <v>2</v>
          </cell>
          <cell r="BP11">
            <v>2</v>
          </cell>
          <cell r="BQ11">
            <v>0</v>
          </cell>
          <cell r="BR11">
            <v>2</v>
          </cell>
          <cell r="BS11">
            <v>4</v>
          </cell>
          <cell r="BT11">
            <v>0</v>
          </cell>
          <cell r="BU11">
            <v>0</v>
          </cell>
          <cell r="BV11">
            <v>3</v>
          </cell>
          <cell r="BW11">
            <v>1</v>
          </cell>
          <cell r="BX11">
            <v>2</v>
          </cell>
          <cell r="BY11">
            <v>1</v>
          </cell>
          <cell r="BZ11">
            <v>2</v>
          </cell>
          <cell r="CA11">
            <v>0</v>
          </cell>
          <cell r="CB11">
            <v>2</v>
          </cell>
          <cell r="CC11">
            <v>1</v>
          </cell>
          <cell r="CD11">
            <v>2</v>
          </cell>
          <cell r="CE11">
            <v>0</v>
          </cell>
          <cell r="CF11">
            <v>3</v>
          </cell>
          <cell r="CG11">
            <v>1</v>
          </cell>
          <cell r="CH11">
            <v>2</v>
          </cell>
          <cell r="CI11">
            <v>1</v>
          </cell>
          <cell r="CJ11">
            <v>2</v>
          </cell>
          <cell r="CK11">
            <v>2</v>
          </cell>
          <cell r="CL11">
            <v>0</v>
          </cell>
          <cell r="CM11">
            <v>1</v>
          </cell>
          <cell r="CN11">
            <v>3</v>
          </cell>
          <cell r="CO11">
            <v>1</v>
          </cell>
          <cell r="CP11">
            <v>2</v>
          </cell>
          <cell r="CQ11">
            <v>2</v>
          </cell>
          <cell r="CR11">
            <v>2</v>
          </cell>
          <cell r="CS11">
            <v>1</v>
          </cell>
          <cell r="CT11">
            <v>1</v>
          </cell>
          <cell r="CU11">
            <v>2</v>
          </cell>
          <cell r="CV11">
            <v>1</v>
          </cell>
          <cell r="CW11">
            <v>1</v>
          </cell>
          <cell r="CX11">
            <v>1</v>
          </cell>
          <cell r="CY11">
            <v>3</v>
          </cell>
          <cell r="CZ11">
            <v>2</v>
          </cell>
          <cell r="DA11">
            <v>2</v>
          </cell>
          <cell r="DB11">
            <v>1</v>
          </cell>
          <cell r="DC11">
            <v>2</v>
          </cell>
          <cell r="DD11">
            <v>0</v>
          </cell>
          <cell r="DE11">
            <v>3</v>
          </cell>
          <cell r="DF11">
            <v>1</v>
          </cell>
          <cell r="DG11">
            <v>3</v>
          </cell>
          <cell r="DH11">
            <v>1</v>
          </cell>
          <cell r="DI11">
            <v>1</v>
          </cell>
          <cell r="DJ11">
            <v>2</v>
          </cell>
          <cell r="DK11">
            <v>2</v>
          </cell>
          <cell r="DL11">
            <v>1</v>
          </cell>
          <cell r="DM11">
            <v>3</v>
          </cell>
          <cell r="DN11">
            <v>2</v>
          </cell>
          <cell r="DO11">
            <v>2</v>
          </cell>
          <cell r="DP11">
            <v>1</v>
          </cell>
          <cell r="DQ11">
            <v>2</v>
          </cell>
          <cell r="DR11">
            <v>0</v>
          </cell>
          <cell r="DS11">
            <v>1</v>
          </cell>
          <cell r="DT11">
            <v>2</v>
          </cell>
          <cell r="DU11">
            <v>1</v>
          </cell>
          <cell r="DV11">
            <v>1</v>
          </cell>
          <cell r="DW11">
            <v>1</v>
          </cell>
          <cell r="DX11">
            <v>1</v>
          </cell>
          <cell r="DY11">
            <v>2</v>
          </cell>
          <cell r="DZ11">
            <v>2</v>
          </cell>
        </row>
        <row r="12">
          <cell r="A12">
            <v>8</v>
          </cell>
          <cell r="B12" t="str">
            <v>Dionisio Araujo V</v>
          </cell>
          <cell r="C12">
            <v>1</v>
          </cell>
          <cell r="D12">
            <v>0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>
            <v>1</v>
          </cell>
          <cell r="J12">
            <v>2</v>
          </cell>
          <cell r="K12">
            <v>1</v>
          </cell>
          <cell r="L12">
            <v>0</v>
          </cell>
          <cell r="M12">
            <v>3</v>
          </cell>
          <cell r="N12">
            <v>0</v>
          </cell>
          <cell r="O12">
            <v>1</v>
          </cell>
          <cell r="P12">
            <v>1</v>
          </cell>
          <cell r="Q12">
            <v>2</v>
          </cell>
          <cell r="R12">
            <v>1</v>
          </cell>
          <cell r="S12">
            <v>0</v>
          </cell>
          <cell r="T12">
            <v>2</v>
          </cell>
          <cell r="U12">
            <v>2</v>
          </cell>
          <cell r="V12">
            <v>1</v>
          </cell>
          <cell r="W12">
            <v>3</v>
          </cell>
          <cell r="X12">
            <v>0</v>
          </cell>
          <cell r="Y12">
            <v>1</v>
          </cell>
          <cell r="Z12">
            <v>1</v>
          </cell>
          <cell r="AA12">
            <v>3</v>
          </cell>
          <cell r="AB12">
            <v>0</v>
          </cell>
          <cell r="AC12">
            <v>0</v>
          </cell>
          <cell r="AD12">
            <v>2</v>
          </cell>
          <cell r="AE12">
            <v>1</v>
          </cell>
          <cell r="AF12">
            <v>1</v>
          </cell>
          <cell r="AG12">
            <v>2</v>
          </cell>
          <cell r="AH12">
            <v>0</v>
          </cell>
          <cell r="AI12">
            <v>1</v>
          </cell>
          <cell r="AJ12">
            <v>0</v>
          </cell>
          <cell r="AK12">
            <v>2</v>
          </cell>
          <cell r="AL12">
            <v>0</v>
          </cell>
          <cell r="AM12">
            <v>3</v>
          </cell>
          <cell r="AN12">
            <v>0</v>
          </cell>
          <cell r="AO12">
            <v>0</v>
          </cell>
          <cell r="AP12">
            <v>2</v>
          </cell>
          <cell r="AQ12">
            <v>3</v>
          </cell>
          <cell r="AR12">
            <v>1</v>
          </cell>
          <cell r="AS12">
            <v>1</v>
          </cell>
          <cell r="AT12">
            <v>0</v>
          </cell>
          <cell r="AU12">
            <v>1</v>
          </cell>
          <cell r="AV12">
            <v>1</v>
          </cell>
          <cell r="AW12">
            <v>3</v>
          </cell>
          <cell r="AX12">
            <v>0</v>
          </cell>
          <cell r="AY12">
            <v>0</v>
          </cell>
          <cell r="AZ12">
            <v>0</v>
          </cell>
          <cell r="BA12">
            <v>1</v>
          </cell>
          <cell r="BB12">
            <v>1</v>
          </cell>
          <cell r="BC12">
            <v>1</v>
          </cell>
          <cell r="BD12">
            <v>0</v>
          </cell>
          <cell r="BE12">
            <v>3</v>
          </cell>
          <cell r="BF12">
            <v>1</v>
          </cell>
          <cell r="BG12">
            <v>1</v>
          </cell>
          <cell r="BH12">
            <v>2</v>
          </cell>
          <cell r="BI12">
            <v>2</v>
          </cell>
          <cell r="BJ12">
            <v>0</v>
          </cell>
          <cell r="BK12">
            <v>1</v>
          </cell>
          <cell r="BL12">
            <v>1</v>
          </cell>
          <cell r="BM12">
            <v>1</v>
          </cell>
          <cell r="BN12">
            <v>2</v>
          </cell>
          <cell r="BO12">
            <v>1</v>
          </cell>
          <cell r="BP12">
            <v>1</v>
          </cell>
          <cell r="BQ12">
            <v>0</v>
          </cell>
          <cell r="BR12">
            <v>2</v>
          </cell>
          <cell r="BS12">
            <v>2</v>
          </cell>
          <cell r="BT12">
            <v>1</v>
          </cell>
          <cell r="BU12">
            <v>0</v>
          </cell>
          <cell r="BV12">
            <v>3</v>
          </cell>
          <cell r="BW12">
            <v>0</v>
          </cell>
          <cell r="BX12">
            <v>1</v>
          </cell>
          <cell r="BY12">
            <v>0</v>
          </cell>
          <cell r="BZ12">
            <v>1</v>
          </cell>
          <cell r="CA12">
            <v>0</v>
          </cell>
          <cell r="CB12">
            <v>2</v>
          </cell>
          <cell r="CC12">
            <v>1</v>
          </cell>
          <cell r="CD12">
            <v>2</v>
          </cell>
          <cell r="CE12">
            <v>0</v>
          </cell>
          <cell r="CF12">
            <v>4</v>
          </cell>
          <cell r="CG12">
            <v>1</v>
          </cell>
          <cell r="CH12">
            <v>0</v>
          </cell>
          <cell r="CI12">
            <v>1</v>
          </cell>
          <cell r="CJ12">
            <v>2</v>
          </cell>
          <cell r="CK12">
            <v>0</v>
          </cell>
          <cell r="CL12">
            <v>1</v>
          </cell>
          <cell r="CM12">
            <v>0</v>
          </cell>
          <cell r="CN12">
            <v>2</v>
          </cell>
          <cell r="CO12">
            <v>1</v>
          </cell>
          <cell r="CP12">
            <v>2</v>
          </cell>
          <cell r="CQ12">
            <v>2</v>
          </cell>
          <cell r="CR12">
            <v>1</v>
          </cell>
          <cell r="CS12">
            <v>0</v>
          </cell>
          <cell r="CT12">
            <v>1</v>
          </cell>
          <cell r="CU12">
            <v>3</v>
          </cell>
          <cell r="CV12">
            <v>1</v>
          </cell>
          <cell r="CW12">
            <v>1</v>
          </cell>
          <cell r="CX12">
            <v>2</v>
          </cell>
          <cell r="CY12">
            <v>2</v>
          </cell>
          <cell r="CZ12">
            <v>0</v>
          </cell>
          <cell r="DA12">
            <v>2</v>
          </cell>
          <cell r="DB12">
            <v>1</v>
          </cell>
          <cell r="DC12">
            <v>3</v>
          </cell>
          <cell r="DD12">
            <v>1</v>
          </cell>
          <cell r="DE12">
            <v>2</v>
          </cell>
          <cell r="DF12">
            <v>0</v>
          </cell>
          <cell r="DG12">
            <v>4</v>
          </cell>
          <cell r="DH12">
            <v>0</v>
          </cell>
          <cell r="DI12">
            <v>2</v>
          </cell>
          <cell r="DJ12">
            <v>1</v>
          </cell>
          <cell r="DK12">
            <v>1</v>
          </cell>
          <cell r="DL12">
            <v>2</v>
          </cell>
          <cell r="DM12">
            <v>3</v>
          </cell>
          <cell r="DN12">
            <v>1</v>
          </cell>
          <cell r="DO12">
            <v>2</v>
          </cell>
          <cell r="DP12">
            <v>1</v>
          </cell>
          <cell r="DQ12">
            <v>3</v>
          </cell>
          <cell r="DR12">
            <v>1</v>
          </cell>
          <cell r="DS12">
            <v>2</v>
          </cell>
          <cell r="DT12">
            <v>3</v>
          </cell>
          <cell r="DU12">
            <v>1</v>
          </cell>
          <cell r="DV12">
            <v>3</v>
          </cell>
          <cell r="DW12">
            <v>1</v>
          </cell>
          <cell r="DX12">
            <v>2</v>
          </cell>
          <cell r="DY12">
            <v>2</v>
          </cell>
          <cell r="DZ12">
            <v>3</v>
          </cell>
        </row>
        <row r="13">
          <cell r="A13">
            <v>9</v>
          </cell>
          <cell r="B13" t="str">
            <v>Felipe Araujo A</v>
          </cell>
          <cell r="C13">
            <v>1</v>
          </cell>
          <cell r="D13">
            <v>0</v>
          </cell>
          <cell r="E13">
            <v>2</v>
          </cell>
          <cell r="F13">
            <v>1</v>
          </cell>
          <cell r="G13">
            <v>1</v>
          </cell>
          <cell r="H13">
            <v>1</v>
          </cell>
          <cell r="I13">
            <v>2</v>
          </cell>
          <cell r="J13">
            <v>0</v>
          </cell>
          <cell r="K13">
            <v>2</v>
          </cell>
          <cell r="L13">
            <v>0</v>
          </cell>
          <cell r="M13">
            <v>3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0</v>
          </cell>
          <cell r="T13">
            <v>2</v>
          </cell>
          <cell r="U13">
            <v>2</v>
          </cell>
          <cell r="V13">
            <v>0</v>
          </cell>
          <cell r="W13">
            <v>3</v>
          </cell>
          <cell r="X13">
            <v>1</v>
          </cell>
          <cell r="Y13">
            <v>1</v>
          </cell>
          <cell r="Z13">
            <v>1</v>
          </cell>
          <cell r="AA13">
            <v>2</v>
          </cell>
          <cell r="AB13">
            <v>0</v>
          </cell>
          <cell r="AC13">
            <v>0</v>
          </cell>
          <cell r="AD13">
            <v>1</v>
          </cell>
          <cell r="AE13">
            <v>1</v>
          </cell>
          <cell r="AF13">
            <v>0</v>
          </cell>
          <cell r="AG13">
            <v>2</v>
          </cell>
          <cell r="AH13">
            <v>1</v>
          </cell>
          <cell r="AI13">
            <v>0</v>
          </cell>
          <cell r="AJ13">
            <v>1</v>
          </cell>
          <cell r="AK13">
            <v>2</v>
          </cell>
          <cell r="AL13">
            <v>1</v>
          </cell>
          <cell r="AM13">
            <v>2</v>
          </cell>
          <cell r="AN13">
            <v>0</v>
          </cell>
          <cell r="AO13">
            <v>1</v>
          </cell>
          <cell r="AP13">
            <v>2</v>
          </cell>
          <cell r="AQ13">
            <v>2</v>
          </cell>
          <cell r="AR13">
            <v>1</v>
          </cell>
          <cell r="AS13">
            <v>0</v>
          </cell>
          <cell r="AT13">
            <v>1</v>
          </cell>
          <cell r="AU13">
            <v>1</v>
          </cell>
          <cell r="AV13">
            <v>0</v>
          </cell>
          <cell r="AW13">
            <v>4</v>
          </cell>
          <cell r="AX13">
            <v>0</v>
          </cell>
          <cell r="AY13">
            <v>1</v>
          </cell>
          <cell r="AZ13">
            <v>0</v>
          </cell>
          <cell r="BA13">
            <v>0</v>
          </cell>
          <cell r="BB13">
            <v>1</v>
          </cell>
          <cell r="BC13">
            <v>1</v>
          </cell>
          <cell r="BD13">
            <v>1</v>
          </cell>
          <cell r="BE13">
            <v>3</v>
          </cell>
          <cell r="BF13">
            <v>1</v>
          </cell>
          <cell r="BG13">
            <v>0</v>
          </cell>
          <cell r="BH13">
            <v>1</v>
          </cell>
          <cell r="BI13">
            <v>3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1</v>
          </cell>
          <cell r="BO13">
            <v>3</v>
          </cell>
          <cell r="BP13">
            <v>1</v>
          </cell>
          <cell r="BQ13">
            <v>0</v>
          </cell>
          <cell r="BR13">
            <v>2</v>
          </cell>
          <cell r="BS13">
            <v>2</v>
          </cell>
          <cell r="BT13">
            <v>1</v>
          </cell>
          <cell r="BU13">
            <v>0</v>
          </cell>
          <cell r="BV13">
            <v>1</v>
          </cell>
          <cell r="BW13">
            <v>0</v>
          </cell>
          <cell r="BX13">
            <v>2</v>
          </cell>
          <cell r="BY13">
            <v>0</v>
          </cell>
          <cell r="BZ13">
            <v>1</v>
          </cell>
          <cell r="CA13">
            <v>0</v>
          </cell>
          <cell r="CB13">
            <v>2</v>
          </cell>
          <cell r="CC13">
            <v>1</v>
          </cell>
          <cell r="CD13">
            <v>2</v>
          </cell>
          <cell r="CE13">
            <v>0</v>
          </cell>
          <cell r="CF13">
            <v>3</v>
          </cell>
          <cell r="CG13">
            <v>2</v>
          </cell>
          <cell r="CH13">
            <v>1</v>
          </cell>
          <cell r="CI13">
            <v>1</v>
          </cell>
          <cell r="CJ13">
            <v>3</v>
          </cell>
          <cell r="CK13">
            <v>2</v>
          </cell>
          <cell r="CL13">
            <v>0</v>
          </cell>
          <cell r="CM13">
            <v>1</v>
          </cell>
          <cell r="CN13">
            <v>1</v>
          </cell>
          <cell r="CO13">
            <v>0</v>
          </cell>
          <cell r="CP13">
            <v>2</v>
          </cell>
          <cell r="CQ13">
            <v>2</v>
          </cell>
          <cell r="CR13">
            <v>1</v>
          </cell>
          <cell r="CS13">
            <v>0</v>
          </cell>
          <cell r="CT13">
            <v>1</v>
          </cell>
          <cell r="CU13">
            <v>1</v>
          </cell>
          <cell r="CV13">
            <v>1</v>
          </cell>
          <cell r="CW13">
            <v>3</v>
          </cell>
          <cell r="CX13">
            <v>1</v>
          </cell>
          <cell r="CY13">
            <v>2</v>
          </cell>
          <cell r="CZ13">
            <v>1</v>
          </cell>
          <cell r="DA13">
            <v>2</v>
          </cell>
          <cell r="DB13">
            <v>0</v>
          </cell>
          <cell r="DC13">
            <v>2</v>
          </cell>
          <cell r="DD13">
            <v>0</v>
          </cell>
          <cell r="DE13">
            <v>1</v>
          </cell>
          <cell r="DF13">
            <v>1</v>
          </cell>
          <cell r="DG13">
            <v>1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1</v>
          </cell>
          <cell r="DM13">
            <v>2</v>
          </cell>
          <cell r="DN13">
            <v>2</v>
          </cell>
          <cell r="DO13">
            <v>3</v>
          </cell>
          <cell r="DP13">
            <v>1</v>
          </cell>
          <cell r="DQ13">
            <v>1</v>
          </cell>
          <cell r="DR13">
            <v>2</v>
          </cell>
          <cell r="DS13">
            <v>0</v>
          </cell>
          <cell r="DT13">
            <v>1</v>
          </cell>
          <cell r="DU13">
            <v>3</v>
          </cell>
          <cell r="DV13">
            <v>1</v>
          </cell>
          <cell r="DW13">
            <v>0</v>
          </cell>
          <cell r="DX13">
            <v>2</v>
          </cell>
          <cell r="DY13">
            <v>1</v>
          </cell>
          <cell r="DZ13">
            <v>2</v>
          </cell>
        </row>
        <row r="14">
          <cell r="A14">
            <v>10</v>
          </cell>
          <cell r="B14" t="str">
            <v>Andres Borrero</v>
          </cell>
          <cell r="C14">
            <v>2</v>
          </cell>
          <cell r="D14">
            <v>0</v>
          </cell>
          <cell r="E14">
            <v>0</v>
          </cell>
          <cell r="F14">
            <v>2</v>
          </cell>
          <cell r="G14">
            <v>1</v>
          </cell>
          <cell r="H14">
            <v>0</v>
          </cell>
          <cell r="I14">
            <v>1</v>
          </cell>
          <cell r="J14">
            <v>1</v>
          </cell>
          <cell r="K14">
            <v>2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1</v>
          </cell>
          <cell r="Q14">
            <v>1</v>
          </cell>
          <cell r="R14">
            <v>2</v>
          </cell>
          <cell r="S14">
            <v>0</v>
          </cell>
          <cell r="T14">
            <v>1</v>
          </cell>
          <cell r="U14">
            <v>2</v>
          </cell>
          <cell r="V14">
            <v>1</v>
          </cell>
          <cell r="W14">
            <v>2</v>
          </cell>
          <cell r="X14">
            <v>1</v>
          </cell>
          <cell r="Y14">
            <v>1</v>
          </cell>
          <cell r="Z14">
            <v>1</v>
          </cell>
          <cell r="AA14">
            <v>4</v>
          </cell>
          <cell r="AB14">
            <v>0</v>
          </cell>
          <cell r="AC14">
            <v>0</v>
          </cell>
          <cell r="AD14">
            <v>2</v>
          </cell>
          <cell r="AE14">
            <v>1</v>
          </cell>
          <cell r="AF14">
            <v>1</v>
          </cell>
          <cell r="AG14">
            <v>3</v>
          </cell>
          <cell r="AH14">
            <v>1</v>
          </cell>
          <cell r="AI14">
            <v>1</v>
          </cell>
          <cell r="AJ14">
            <v>1</v>
          </cell>
          <cell r="AK14">
            <v>2</v>
          </cell>
          <cell r="AL14">
            <v>0</v>
          </cell>
          <cell r="AM14">
            <v>4</v>
          </cell>
          <cell r="AN14">
            <v>0</v>
          </cell>
          <cell r="AO14">
            <v>0</v>
          </cell>
          <cell r="AP14">
            <v>2</v>
          </cell>
          <cell r="AQ14">
            <v>2</v>
          </cell>
          <cell r="AR14">
            <v>0</v>
          </cell>
          <cell r="AS14">
            <v>1</v>
          </cell>
          <cell r="AT14">
            <v>0</v>
          </cell>
          <cell r="AU14">
            <v>1</v>
          </cell>
          <cell r="AV14">
            <v>1</v>
          </cell>
          <cell r="AW14">
            <v>4</v>
          </cell>
          <cell r="AX14">
            <v>0</v>
          </cell>
          <cell r="AY14">
            <v>1</v>
          </cell>
          <cell r="AZ14">
            <v>0</v>
          </cell>
          <cell r="BA14">
            <v>0</v>
          </cell>
          <cell r="BB14">
            <v>2</v>
          </cell>
          <cell r="BC14">
            <v>2</v>
          </cell>
          <cell r="BD14">
            <v>0</v>
          </cell>
          <cell r="BE14">
            <v>2</v>
          </cell>
          <cell r="BF14">
            <v>1</v>
          </cell>
          <cell r="BG14">
            <v>1</v>
          </cell>
          <cell r="BH14">
            <v>2</v>
          </cell>
          <cell r="BI14">
            <v>4</v>
          </cell>
          <cell r="BJ14">
            <v>0</v>
          </cell>
          <cell r="BK14">
            <v>0</v>
          </cell>
          <cell r="BL14">
            <v>2</v>
          </cell>
          <cell r="BM14">
            <v>1</v>
          </cell>
          <cell r="BN14">
            <v>1</v>
          </cell>
          <cell r="BO14">
            <v>1</v>
          </cell>
          <cell r="BP14">
            <v>1</v>
          </cell>
          <cell r="BQ14">
            <v>0</v>
          </cell>
          <cell r="BR14">
            <v>3</v>
          </cell>
          <cell r="BS14">
            <v>2</v>
          </cell>
          <cell r="BT14">
            <v>0</v>
          </cell>
          <cell r="BU14">
            <v>0</v>
          </cell>
          <cell r="BV14">
            <v>2</v>
          </cell>
          <cell r="BW14">
            <v>0</v>
          </cell>
          <cell r="BX14">
            <v>2</v>
          </cell>
          <cell r="BY14">
            <v>1</v>
          </cell>
          <cell r="BZ14">
            <v>1</v>
          </cell>
          <cell r="CA14">
            <v>1</v>
          </cell>
          <cell r="CB14">
            <v>1</v>
          </cell>
          <cell r="CC14">
            <v>1</v>
          </cell>
          <cell r="CD14">
            <v>2</v>
          </cell>
          <cell r="CE14">
            <v>1</v>
          </cell>
          <cell r="CF14">
            <v>3</v>
          </cell>
          <cell r="CG14">
            <v>2</v>
          </cell>
          <cell r="CH14">
            <v>1</v>
          </cell>
          <cell r="CI14">
            <v>0</v>
          </cell>
          <cell r="CJ14">
            <v>2</v>
          </cell>
          <cell r="CK14">
            <v>2</v>
          </cell>
          <cell r="CL14">
            <v>0</v>
          </cell>
          <cell r="CM14">
            <v>0</v>
          </cell>
          <cell r="CN14">
            <v>1</v>
          </cell>
          <cell r="CO14">
            <v>1</v>
          </cell>
          <cell r="CP14">
            <v>1</v>
          </cell>
          <cell r="CQ14">
            <v>2</v>
          </cell>
          <cell r="CR14">
            <v>1</v>
          </cell>
          <cell r="CS14">
            <v>0</v>
          </cell>
          <cell r="CT14">
            <v>0</v>
          </cell>
          <cell r="CU14">
            <v>3</v>
          </cell>
          <cell r="CV14">
            <v>1</v>
          </cell>
          <cell r="CW14">
            <v>1</v>
          </cell>
          <cell r="CX14">
            <v>1</v>
          </cell>
          <cell r="CY14">
            <v>3</v>
          </cell>
          <cell r="CZ14">
            <v>1</v>
          </cell>
          <cell r="DA14">
            <v>2</v>
          </cell>
          <cell r="DB14">
            <v>2</v>
          </cell>
          <cell r="DC14">
            <v>2</v>
          </cell>
          <cell r="DD14">
            <v>1</v>
          </cell>
          <cell r="DE14">
            <v>1</v>
          </cell>
          <cell r="DF14">
            <v>0</v>
          </cell>
          <cell r="DG14">
            <v>1</v>
          </cell>
          <cell r="DH14">
            <v>1</v>
          </cell>
          <cell r="DI14">
            <v>2</v>
          </cell>
          <cell r="DJ14">
            <v>2</v>
          </cell>
          <cell r="DK14">
            <v>2</v>
          </cell>
          <cell r="DL14">
            <v>1</v>
          </cell>
          <cell r="DM14">
            <v>2</v>
          </cell>
          <cell r="DN14">
            <v>0</v>
          </cell>
          <cell r="DO14">
            <v>3</v>
          </cell>
          <cell r="DP14">
            <v>0</v>
          </cell>
          <cell r="DQ14">
            <v>2</v>
          </cell>
          <cell r="DR14">
            <v>0</v>
          </cell>
          <cell r="DS14">
            <v>1</v>
          </cell>
          <cell r="DT14">
            <v>2</v>
          </cell>
          <cell r="DU14">
            <v>1</v>
          </cell>
          <cell r="DV14">
            <v>1</v>
          </cell>
          <cell r="DW14">
            <v>2</v>
          </cell>
          <cell r="DX14">
            <v>3</v>
          </cell>
          <cell r="DY14">
            <v>2</v>
          </cell>
          <cell r="DZ14">
            <v>1</v>
          </cell>
        </row>
        <row r="15">
          <cell r="A15">
            <v>11</v>
          </cell>
          <cell r="B15" t="str">
            <v>Andres Lemaitre</v>
          </cell>
          <cell r="C15">
            <v>0</v>
          </cell>
          <cell r="D15">
            <v>0</v>
          </cell>
          <cell r="E15">
            <v>1</v>
          </cell>
          <cell r="F15">
            <v>1</v>
          </cell>
          <cell r="G15">
            <v>0</v>
          </cell>
          <cell r="H15">
            <v>0</v>
          </cell>
          <cell r="I15">
            <v>1</v>
          </cell>
          <cell r="J15">
            <v>1</v>
          </cell>
          <cell r="K15">
            <v>2</v>
          </cell>
          <cell r="L15">
            <v>0</v>
          </cell>
          <cell r="M15">
            <v>4</v>
          </cell>
          <cell r="N15">
            <v>0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0</v>
          </cell>
          <cell r="T15">
            <v>0</v>
          </cell>
          <cell r="U15">
            <v>1</v>
          </cell>
          <cell r="V15">
            <v>1</v>
          </cell>
          <cell r="W15">
            <v>3</v>
          </cell>
          <cell r="X15">
            <v>1</v>
          </cell>
          <cell r="Y15">
            <v>1</v>
          </cell>
          <cell r="Z15">
            <v>0</v>
          </cell>
          <cell r="AA15">
            <v>3</v>
          </cell>
          <cell r="AB15">
            <v>0</v>
          </cell>
          <cell r="AC15">
            <v>0</v>
          </cell>
          <cell r="AD15">
            <v>1</v>
          </cell>
          <cell r="AE15">
            <v>1</v>
          </cell>
          <cell r="AF15">
            <v>0</v>
          </cell>
          <cell r="AG15">
            <v>2</v>
          </cell>
          <cell r="AH15">
            <v>1</v>
          </cell>
          <cell r="AI15">
            <v>0</v>
          </cell>
          <cell r="AJ15">
            <v>1</v>
          </cell>
          <cell r="AK15">
            <v>2</v>
          </cell>
          <cell r="AL15">
            <v>0</v>
          </cell>
          <cell r="AM15">
            <v>3</v>
          </cell>
          <cell r="AN15">
            <v>0</v>
          </cell>
          <cell r="AO15">
            <v>0</v>
          </cell>
          <cell r="AP15">
            <v>4</v>
          </cell>
          <cell r="AQ15">
            <v>2</v>
          </cell>
          <cell r="AR15">
            <v>1</v>
          </cell>
          <cell r="AS15">
            <v>1</v>
          </cell>
          <cell r="AT15">
            <v>0</v>
          </cell>
          <cell r="AU15">
            <v>1</v>
          </cell>
          <cell r="AV15">
            <v>1</v>
          </cell>
          <cell r="AW15">
            <v>3</v>
          </cell>
          <cell r="AX15">
            <v>0</v>
          </cell>
          <cell r="AY15">
            <v>1</v>
          </cell>
          <cell r="AZ15">
            <v>0</v>
          </cell>
          <cell r="BA15">
            <v>1</v>
          </cell>
          <cell r="BB15">
            <v>1</v>
          </cell>
          <cell r="BC15">
            <v>2</v>
          </cell>
          <cell r="BD15">
            <v>0</v>
          </cell>
          <cell r="BE15">
            <v>1</v>
          </cell>
          <cell r="BF15">
            <v>1</v>
          </cell>
          <cell r="BG15">
            <v>2</v>
          </cell>
          <cell r="BH15">
            <v>1</v>
          </cell>
          <cell r="BI15">
            <v>2</v>
          </cell>
          <cell r="BJ15">
            <v>0</v>
          </cell>
          <cell r="BK15">
            <v>1</v>
          </cell>
          <cell r="BL15">
            <v>2</v>
          </cell>
          <cell r="BM15">
            <v>1</v>
          </cell>
          <cell r="BN15">
            <v>1</v>
          </cell>
          <cell r="BO15">
            <v>1</v>
          </cell>
          <cell r="BP15">
            <v>1</v>
          </cell>
          <cell r="BQ15">
            <v>0</v>
          </cell>
          <cell r="BR15">
            <v>1</v>
          </cell>
          <cell r="BS15">
            <v>2</v>
          </cell>
          <cell r="BT15">
            <v>0</v>
          </cell>
          <cell r="BU15">
            <v>0</v>
          </cell>
          <cell r="BV15">
            <v>1</v>
          </cell>
          <cell r="BW15">
            <v>0</v>
          </cell>
          <cell r="BX15">
            <v>1</v>
          </cell>
          <cell r="BY15">
            <v>1</v>
          </cell>
          <cell r="BZ15">
            <v>1</v>
          </cell>
          <cell r="CA15">
            <v>0</v>
          </cell>
          <cell r="CB15">
            <v>2</v>
          </cell>
          <cell r="CC15">
            <v>2</v>
          </cell>
          <cell r="CD15">
            <v>3</v>
          </cell>
          <cell r="CE15">
            <v>0</v>
          </cell>
          <cell r="CF15">
            <v>3</v>
          </cell>
          <cell r="CG15">
            <v>2</v>
          </cell>
          <cell r="CH15">
            <v>2</v>
          </cell>
          <cell r="CI15">
            <v>0</v>
          </cell>
          <cell r="CJ15">
            <v>4</v>
          </cell>
          <cell r="CK15">
            <v>1</v>
          </cell>
          <cell r="CL15">
            <v>1</v>
          </cell>
          <cell r="CM15">
            <v>1</v>
          </cell>
          <cell r="CN15">
            <v>1</v>
          </cell>
          <cell r="CO15">
            <v>0</v>
          </cell>
          <cell r="CP15">
            <v>1</v>
          </cell>
          <cell r="CQ15">
            <v>0</v>
          </cell>
          <cell r="CR15">
            <v>1</v>
          </cell>
          <cell r="CS15">
            <v>1</v>
          </cell>
          <cell r="CT15">
            <v>1</v>
          </cell>
          <cell r="CU15">
            <v>1</v>
          </cell>
          <cell r="CV15">
            <v>0</v>
          </cell>
          <cell r="CW15">
            <v>1</v>
          </cell>
          <cell r="CX15">
            <v>1</v>
          </cell>
          <cell r="CY15">
            <v>3</v>
          </cell>
          <cell r="CZ15">
            <v>0</v>
          </cell>
          <cell r="DA15">
            <v>2</v>
          </cell>
          <cell r="DB15">
            <v>0</v>
          </cell>
          <cell r="DC15">
            <v>4</v>
          </cell>
          <cell r="DD15">
            <v>1</v>
          </cell>
          <cell r="DE15">
            <v>0</v>
          </cell>
          <cell r="DF15">
            <v>1</v>
          </cell>
          <cell r="DG15">
            <v>2</v>
          </cell>
          <cell r="DH15">
            <v>1</v>
          </cell>
          <cell r="DI15">
            <v>0</v>
          </cell>
          <cell r="DJ15">
            <v>1</v>
          </cell>
          <cell r="DK15">
            <v>3</v>
          </cell>
          <cell r="DL15">
            <v>1</v>
          </cell>
          <cell r="DM15">
            <v>2</v>
          </cell>
          <cell r="DN15">
            <v>0</v>
          </cell>
          <cell r="DO15">
            <v>0</v>
          </cell>
          <cell r="DP15">
            <v>1</v>
          </cell>
          <cell r="DQ15">
            <v>1</v>
          </cell>
          <cell r="DR15">
            <v>1</v>
          </cell>
          <cell r="DS15">
            <v>1</v>
          </cell>
          <cell r="DT15">
            <v>3</v>
          </cell>
          <cell r="DU15">
            <v>2</v>
          </cell>
          <cell r="DV15">
            <v>2</v>
          </cell>
          <cell r="DW15">
            <v>1</v>
          </cell>
          <cell r="DX15">
            <v>2</v>
          </cell>
          <cell r="DY15">
            <v>2</v>
          </cell>
          <cell r="DZ15">
            <v>0</v>
          </cell>
        </row>
        <row r="16">
          <cell r="A16">
            <v>12</v>
          </cell>
          <cell r="B16" t="str">
            <v>Felipe Bonilla</v>
          </cell>
          <cell r="C16">
            <v>3</v>
          </cell>
          <cell r="D16">
            <v>0</v>
          </cell>
          <cell r="E16">
            <v>1</v>
          </cell>
          <cell r="F16">
            <v>2</v>
          </cell>
          <cell r="G16">
            <v>3</v>
          </cell>
          <cell r="H16">
            <v>2</v>
          </cell>
          <cell r="I16">
            <v>1</v>
          </cell>
          <cell r="J16">
            <v>2</v>
          </cell>
          <cell r="K16">
            <v>3</v>
          </cell>
          <cell r="L16">
            <v>1</v>
          </cell>
          <cell r="M16">
            <v>4</v>
          </cell>
          <cell r="N16">
            <v>0</v>
          </cell>
          <cell r="O16">
            <v>1</v>
          </cell>
          <cell r="P16">
            <v>1</v>
          </cell>
          <cell r="Q16">
            <v>2</v>
          </cell>
          <cell r="R16">
            <v>2</v>
          </cell>
          <cell r="S16">
            <v>1</v>
          </cell>
          <cell r="T16">
            <v>0</v>
          </cell>
          <cell r="U16">
            <v>0</v>
          </cell>
          <cell r="V16">
            <v>1</v>
          </cell>
          <cell r="W16">
            <v>1</v>
          </cell>
          <cell r="X16">
            <v>0</v>
          </cell>
          <cell r="Y16">
            <v>2</v>
          </cell>
          <cell r="Z16">
            <v>0</v>
          </cell>
          <cell r="AA16">
            <v>2</v>
          </cell>
          <cell r="AB16">
            <v>0</v>
          </cell>
          <cell r="AC16">
            <v>0</v>
          </cell>
          <cell r="AD16">
            <v>2</v>
          </cell>
          <cell r="AE16">
            <v>1</v>
          </cell>
          <cell r="AF16">
            <v>0</v>
          </cell>
          <cell r="AG16">
            <v>1</v>
          </cell>
          <cell r="AH16">
            <v>0</v>
          </cell>
          <cell r="AI16">
            <v>1</v>
          </cell>
          <cell r="AJ16">
            <v>1</v>
          </cell>
          <cell r="AK16">
            <v>3</v>
          </cell>
          <cell r="AL16">
            <v>0</v>
          </cell>
          <cell r="AM16">
            <v>6</v>
          </cell>
          <cell r="AN16">
            <v>0</v>
          </cell>
          <cell r="AO16">
            <v>1</v>
          </cell>
          <cell r="AP16">
            <v>6</v>
          </cell>
          <cell r="AQ16">
            <v>2</v>
          </cell>
          <cell r="AR16">
            <v>0</v>
          </cell>
          <cell r="AS16">
            <v>2</v>
          </cell>
          <cell r="AT16">
            <v>1</v>
          </cell>
          <cell r="AU16">
            <v>1</v>
          </cell>
          <cell r="AV16">
            <v>1</v>
          </cell>
          <cell r="AW16">
            <v>4</v>
          </cell>
          <cell r="AX16">
            <v>1</v>
          </cell>
          <cell r="AY16">
            <v>3</v>
          </cell>
          <cell r="AZ16">
            <v>1</v>
          </cell>
          <cell r="BA16">
            <v>1</v>
          </cell>
          <cell r="BB16">
            <v>2</v>
          </cell>
          <cell r="BC16">
            <v>4</v>
          </cell>
          <cell r="BD16">
            <v>0</v>
          </cell>
          <cell r="BE16">
            <v>1</v>
          </cell>
          <cell r="BF16">
            <v>0</v>
          </cell>
          <cell r="BG16">
            <v>0</v>
          </cell>
          <cell r="BH16">
            <v>1</v>
          </cell>
          <cell r="BI16">
            <v>3</v>
          </cell>
          <cell r="BJ16">
            <v>1</v>
          </cell>
          <cell r="BK16">
            <v>2</v>
          </cell>
          <cell r="BL16">
            <v>1</v>
          </cell>
          <cell r="BM16">
            <v>0</v>
          </cell>
          <cell r="BN16">
            <v>3</v>
          </cell>
          <cell r="BO16">
            <v>1</v>
          </cell>
          <cell r="BP16">
            <v>1</v>
          </cell>
          <cell r="BQ16">
            <v>0</v>
          </cell>
          <cell r="BR16">
            <v>1</v>
          </cell>
          <cell r="BS16">
            <v>4</v>
          </cell>
          <cell r="BT16">
            <v>2</v>
          </cell>
          <cell r="BU16">
            <v>0</v>
          </cell>
          <cell r="BV16">
            <v>2</v>
          </cell>
          <cell r="BW16">
            <v>1</v>
          </cell>
          <cell r="BX16">
            <v>2</v>
          </cell>
          <cell r="BY16">
            <v>0</v>
          </cell>
          <cell r="BZ16">
            <v>2</v>
          </cell>
          <cell r="CA16">
            <v>0</v>
          </cell>
          <cell r="CB16">
            <v>2</v>
          </cell>
          <cell r="CC16">
            <v>2</v>
          </cell>
          <cell r="CD16">
            <v>3</v>
          </cell>
          <cell r="CE16">
            <v>0</v>
          </cell>
          <cell r="CF16">
            <v>3</v>
          </cell>
          <cell r="CG16">
            <v>1</v>
          </cell>
          <cell r="CH16">
            <v>1</v>
          </cell>
          <cell r="CI16">
            <v>1</v>
          </cell>
          <cell r="CJ16">
            <v>3</v>
          </cell>
          <cell r="CK16">
            <v>2</v>
          </cell>
          <cell r="CL16">
            <v>2</v>
          </cell>
          <cell r="CM16">
            <v>1</v>
          </cell>
          <cell r="CN16">
            <v>1</v>
          </cell>
          <cell r="CO16">
            <v>0</v>
          </cell>
          <cell r="CP16">
            <v>2</v>
          </cell>
          <cell r="CQ16">
            <v>1</v>
          </cell>
          <cell r="CR16">
            <v>2</v>
          </cell>
          <cell r="CS16">
            <v>2</v>
          </cell>
          <cell r="CT16">
            <v>0</v>
          </cell>
          <cell r="CU16">
            <v>2</v>
          </cell>
          <cell r="CV16">
            <v>0</v>
          </cell>
          <cell r="CW16">
            <v>1</v>
          </cell>
          <cell r="CX16">
            <v>2</v>
          </cell>
          <cell r="CY16">
            <v>3</v>
          </cell>
          <cell r="CZ16">
            <v>1</v>
          </cell>
          <cell r="DA16">
            <v>2</v>
          </cell>
          <cell r="DB16">
            <v>2</v>
          </cell>
          <cell r="DC16">
            <v>2</v>
          </cell>
          <cell r="DD16">
            <v>0</v>
          </cell>
          <cell r="DE16">
            <v>4</v>
          </cell>
          <cell r="DF16">
            <v>2</v>
          </cell>
          <cell r="DG16">
            <v>2</v>
          </cell>
          <cell r="DH16">
            <v>0</v>
          </cell>
          <cell r="DI16">
            <v>2</v>
          </cell>
          <cell r="DJ16">
            <v>1</v>
          </cell>
          <cell r="DK16">
            <v>1</v>
          </cell>
          <cell r="DL16">
            <v>0</v>
          </cell>
          <cell r="DM16">
            <v>0</v>
          </cell>
          <cell r="DN16">
            <v>1</v>
          </cell>
          <cell r="DO16">
            <v>0</v>
          </cell>
          <cell r="DP16">
            <v>1</v>
          </cell>
          <cell r="DQ16">
            <v>4</v>
          </cell>
          <cell r="DR16">
            <v>0</v>
          </cell>
          <cell r="DS16">
            <v>1</v>
          </cell>
          <cell r="DT16">
            <v>2</v>
          </cell>
          <cell r="DU16">
            <v>0</v>
          </cell>
          <cell r="DV16">
            <v>2</v>
          </cell>
          <cell r="DW16">
            <v>1</v>
          </cell>
          <cell r="DX16">
            <v>1</v>
          </cell>
          <cell r="DY16">
            <v>1</v>
          </cell>
          <cell r="DZ16">
            <v>1</v>
          </cell>
        </row>
        <row r="17">
          <cell r="A17">
            <v>13</v>
          </cell>
          <cell r="B17" t="str">
            <v>Carlos A Pareja</v>
          </cell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1</v>
          </cell>
          <cell r="J17">
            <v>2</v>
          </cell>
          <cell r="K17">
            <v>3</v>
          </cell>
          <cell r="L17">
            <v>1</v>
          </cell>
          <cell r="M17">
            <v>4</v>
          </cell>
          <cell r="N17">
            <v>1</v>
          </cell>
          <cell r="O17">
            <v>2</v>
          </cell>
          <cell r="P17">
            <v>1</v>
          </cell>
          <cell r="Q17">
            <v>2</v>
          </cell>
          <cell r="R17">
            <v>2</v>
          </cell>
          <cell r="S17">
            <v>1</v>
          </cell>
          <cell r="T17">
            <v>0</v>
          </cell>
          <cell r="U17">
            <v>2</v>
          </cell>
          <cell r="V17">
            <v>1</v>
          </cell>
          <cell r="W17">
            <v>2</v>
          </cell>
          <cell r="X17">
            <v>0</v>
          </cell>
          <cell r="Y17">
            <v>0</v>
          </cell>
          <cell r="Z17">
            <v>0</v>
          </cell>
          <cell r="AA17">
            <v>3</v>
          </cell>
          <cell r="AB17">
            <v>0</v>
          </cell>
          <cell r="AC17">
            <v>0</v>
          </cell>
          <cell r="AD17">
            <v>1</v>
          </cell>
          <cell r="AE17">
            <v>1</v>
          </cell>
          <cell r="AF17">
            <v>2</v>
          </cell>
          <cell r="AG17">
            <v>2</v>
          </cell>
          <cell r="AH17">
            <v>0</v>
          </cell>
          <cell r="AI17">
            <v>2</v>
          </cell>
          <cell r="AJ17">
            <v>1</v>
          </cell>
          <cell r="AK17">
            <v>3</v>
          </cell>
          <cell r="AL17">
            <v>1</v>
          </cell>
          <cell r="AM17">
            <v>3</v>
          </cell>
          <cell r="AN17">
            <v>0</v>
          </cell>
          <cell r="AO17">
            <v>0</v>
          </cell>
          <cell r="AP17">
            <v>4</v>
          </cell>
          <cell r="AQ17">
            <v>4</v>
          </cell>
          <cell r="AR17">
            <v>2</v>
          </cell>
          <cell r="AS17">
            <v>2</v>
          </cell>
          <cell r="AT17">
            <v>1</v>
          </cell>
          <cell r="AU17">
            <v>2</v>
          </cell>
          <cell r="AV17">
            <v>1</v>
          </cell>
          <cell r="AW17">
            <v>3</v>
          </cell>
          <cell r="AX17">
            <v>0</v>
          </cell>
          <cell r="AY17">
            <v>0</v>
          </cell>
          <cell r="AZ17">
            <v>1</v>
          </cell>
          <cell r="BA17">
            <v>2</v>
          </cell>
          <cell r="BB17">
            <v>2</v>
          </cell>
          <cell r="BC17">
            <v>4</v>
          </cell>
          <cell r="BD17">
            <v>2</v>
          </cell>
          <cell r="BE17">
            <v>2</v>
          </cell>
          <cell r="BF17">
            <v>0</v>
          </cell>
          <cell r="BG17">
            <v>1</v>
          </cell>
          <cell r="BH17">
            <v>3</v>
          </cell>
          <cell r="BI17">
            <v>4</v>
          </cell>
          <cell r="BJ17">
            <v>0</v>
          </cell>
          <cell r="BK17">
            <v>1</v>
          </cell>
          <cell r="BL17">
            <v>1</v>
          </cell>
          <cell r="BM17">
            <v>1</v>
          </cell>
          <cell r="BN17">
            <v>2</v>
          </cell>
          <cell r="BO17">
            <v>2</v>
          </cell>
          <cell r="BP17">
            <v>2</v>
          </cell>
          <cell r="BQ17">
            <v>1</v>
          </cell>
          <cell r="BR17">
            <v>2</v>
          </cell>
          <cell r="BS17">
            <v>3</v>
          </cell>
          <cell r="BT17">
            <v>1</v>
          </cell>
          <cell r="BU17">
            <v>0</v>
          </cell>
          <cell r="BV17">
            <v>2</v>
          </cell>
          <cell r="BW17">
            <v>1</v>
          </cell>
          <cell r="BX17">
            <v>3</v>
          </cell>
          <cell r="BY17">
            <v>1</v>
          </cell>
          <cell r="BZ17">
            <v>2</v>
          </cell>
          <cell r="CA17">
            <v>2</v>
          </cell>
          <cell r="CB17">
            <v>3</v>
          </cell>
          <cell r="CC17">
            <v>1</v>
          </cell>
          <cell r="CD17">
            <v>1</v>
          </cell>
          <cell r="CE17">
            <v>0</v>
          </cell>
          <cell r="CF17">
            <v>4</v>
          </cell>
          <cell r="CG17">
            <v>1</v>
          </cell>
          <cell r="CH17">
            <v>2</v>
          </cell>
          <cell r="CI17">
            <v>1</v>
          </cell>
          <cell r="CJ17">
            <v>3</v>
          </cell>
          <cell r="CK17">
            <v>0</v>
          </cell>
          <cell r="CL17">
            <v>1</v>
          </cell>
          <cell r="CM17">
            <v>1</v>
          </cell>
          <cell r="CN17">
            <v>3</v>
          </cell>
          <cell r="CO17">
            <v>1</v>
          </cell>
          <cell r="CP17">
            <v>3</v>
          </cell>
          <cell r="CQ17">
            <v>2</v>
          </cell>
          <cell r="CR17">
            <v>2</v>
          </cell>
          <cell r="CS17">
            <v>1</v>
          </cell>
          <cell r="CT17">
            <v>1</v>
          </cell>
          <cell r="CU17">
            <v>1</v>
          </cell>
          <cell r="CV17">
            <v>1</v>
          </cell>
          <cell r="CW17">
            <v>1</v>
          </cell>
          <cell r="CX17">
            <v>3</v>
          </cell>
          <cell r="CY17">
            <v>2</v>
          </cell>
          <cell r="CZ17">
            <v>2</v>
          </cell>
          <cell r="DA17">
            <v>3</v>
          </cell>
          <cell r="DB17">
            <v>2</v>
          </cell>
          <cell r="DC17">
            <v>2</v>
          </cell>
          <cell r="DD17">
            <v>1</v>
          </cell>
          <cell r="DE17">
            <v>3</v>
          </cell>
          <cell r="DF17">
            <v>1</v>
          </cell>
          <cell r="DG17">
            <v>2</v>
          </cell>
          <cell r="DH17">
            <v>0</v>
          </cell>
          <cell r="DI17">
            <v>2</v>
          </cell>
          <cell r="DJ17">
            <v>1</v>
          </cell>
          <cell r="DK17">
            <v>0</v>
          </cell>
          <cell r="DL17">
            <v>1</v>
          </cell>
          <cell r="DM17">
            <v>3</v>
          </cell>
          <cell r="DN17">
            <v>2</v>
          </cell>
          <cell r="DO17">
            <v>1</v>
          </cell>
          <cell r="DP17">
            <v>1</v>
          </cell>
          <cell r="DQ17">
            <v>2</v>
          </cell>
          <cell r="DR17">
            <v>2</v>
          </cell>
          <cell r="DS17">
            <v>1</v>
          </cell>
          <cell r="DT17">
            <v>2</v>
          </cell>
          <cell r="DU17">
            <v>2</v>
          </cell>
          <cell r="DV17">
            <v>2</v>
          </cell>
          <cell r="DW17">
            <v>3</v>
          </cell>
          <cell r="DX17">
            <v>2</v>
          </cell>
          <cell r="DY17">
            <v>2</v>
          </cell>
          <cell r="DZ17">
            <v>0</v>
          </cell>
        </row>
        <row r="18">
          <cell r="A18">
            <v>14</v>
          </cell>
          <cell r="B18" t="str">
            <v>Nicolas Mujica R</v>
          </cell>
          <cell r="C18">
            <v>2</v>
          </cell>
          <cell r="D18">
            <v>0</v>
          </cell>
          <cell r="E18">
            <v>0</v>
          </cell>
          <cell r="F18">
            <v>2</v>
          </cell>
          <cell r="G18">
            <v>2</v>
          </cell>
          <cell r="H18">
            <v>0</v>
          </cell>
          <cell r="I18">
            <v>1</v>
          </cell>
          <cell r="J18">
            <v>2</v>
          </cell>
          <cell r="K18">
            <v>2</v>
          </cell>
          <cell r="L18">
            <v>0</v>
          </cell>
          <cell r="M18">
            <v>3</v>
          </cell>
          <cell r="N18">
            <v>0</v>
          </cell>
          <cell r="O18">
            <v>1</v>
          </cell>
          <cell r="P18">
            <v>1</v>
          </cell>
          <cell r="Q18">
            <v>3</v>
          </cell>
          <cell r="R18">
            <v>1</v>
          </cell>
          <cell r="S18">
            <v>1</v>
          </cell>
          <cell r="T18">
            <v>2</v>
          </cell>
          <cell r="U18">
            <v>4</v>
          </cell>
          <cell r="V18">
            <v>1</v>
          </cell>
          <cell r="W18">
            <v>4</v>
          </cell>
          <cell r="X18">
            <v>0</v>
          </cell>
          <cell r="Y18">
            <v>2</v>
          </cell>
          <cell r="Z18">
            <v>1</v>
          </cell>
          <cell r="AA18">
            <v>2</v>
          </cell>
          <cell r="AB18">
            <v>0</v>
          </cell>
          <cell r="AC18">
            <v>0</v>
          </cell>
          <cell r="AD18">
            <v>2</v>
          </cell>
          <cell r="AE18">
            <v>2</v>
          </cell>
          <cell r="AF18">
            <v>0</v>
          </cell>
          <cell r="AG18">
            <v>2</v>
          </cell>
          <cell r="AH18">
            <v>1</v>
          </cell>
          <cell r="AI18">
            <v>2</v>
          </cell>
          <cell r="AJ18">
            <v>2</v>
          </cell>
          <cell r="AK18">
            <v>2</v>
          </cell>
          <cell r="AL18">
            <v>1</v>
          </cell>
          <cell r="AM18">
            <v>4</v>
          </cell>
          <cell r="AN18">
            <v>0</v>
          </cell>
          <cell r="AO18">
            <v>0</v>
          </cell>
          <cell r="AP18">
            <v>3</v>
          </cell>
          <cell r="AQ18">
            <v>2</v>
          </cell>
          <cell r="AR18">
            <v>0</v>
          </cell>
          <cell r="AS18">
            <v>1</v>
          </cell>
          <cell r="AT18">
            <v>0</v>
          </cell>
          <cell r="AU18">
            <v>2</v>
          </cell>
          <cell r="AV18">
            <v>1</v>
          </cell>
          <cell r="AW18">
            <v>3</v>
          </cell>
          <cell r="AX18">
            <v>1</v>
          </cell>
          <cell r="AY18">
            <v>1</v>
          </cell>
          <cell r="AZ18">
            <v>0</v>
          </cell>
          <cell r="BA18">
            <v>2</v>
          </cell>
          <cell r="BB18">
            <v>1</v>
          </cell>
          <cell r="BC18">
            <v>3</v>
          </cell>
          <cell r="BD18">
            <v>1</v>
          </cell>
          <cell r="BE18">
            <v>2</v>
          </cell>
          <cell r="BF18">
            <v>0</v>
          </cell>
          <cell r="BG18">
            <v>1</v>
          </cell>
          <cell r="BH18">
            <v>1</v>
          </cell>
          <cell r="BI18">
            <v>2</v>
          </cell>
          <cell r="BJ18">
            <v>0</v>
          </cell>
          <cell r="BK18">
            <v>2</v>
          </cell>
          <cell r="BL18">
            <v>1</v>
          </cell>
          <cell r="BM18">
            <v>0</v>
          </cell>
          <cell r="BN18">
            <v>1</v>
          </cell>
          <cell r="BO18">
            <v>3</v>
          </cell>
          <cell r="BP18">
            <v>1</v>
          </cell>
          <cell r="BQ18">
            <v>1</v>
          </cell>
          <cell r="BR18">
            <v>3</v>
          </cell>
          <cell r="BS18">
            <v>3</v>
          </cell>
          <cell r="BT18">
            <v>1</v>
          </cell>
          <cell r="BU18">
            <v>0</v>
          </cell>
          <cell r="BV18">
            <v>2</v>
          </cell>
          <cell r="BW18">
            <v>1</v>
          </cell>
          <cell r="BX18">
            <v>2</v>
          </cell>
          <cell r="BY18">
            <v>0</v>
          </cell>
          <cell r="BZ18">
            <v>1</v>
          </cell>
          <cell r="CA18">
            <v>0</v>
          </cell>
          <cell r="CB18">
            <v>2</v>
          </cell>
          <cell r="CC18">
            <v>1</v>
          </cell>
          <cell r="CD18">
            <v>1</v>
          </cell>
          <cell r="CE18">
            <v>1</v>
          </cell>
          <cell r="CF18">
            <v>3</v>
          </cell>
          <cell r="CG18">
            <v>1</v>
          </cell>
          <cell r="CH18">
            <v>2</v>
          </cell>
          <cell r="CI18">
            <v>1</v>
          </cell>
          <cell r="CJ18">
            <v>3</v>
          </cell>
          <cell r="CK18">
            <v>0</v>
          </cell>
          <cell r="CL18">
            <v>1</v>
          </cell>
          <cell r="CM18">
            <v>1</v>
          </cell>
          <cell r="CN18">
            <v>2</v>
          </cell>
          <cell r="CO18">
            <v>1</v>
          </cell>
          <cell r="CP18">
            <v>3</v>
          </cell>
          <cell r="CQ18">
            <v>2</v>
          </cell>
          <cell r="CR18">
            <v>2</v>
          </cell>
          <cell r="CS18">
            <v>1</v>
          </cell>
          <cell r="CT18">
            <v>0</v>
          </cell>
          <cell r="CU18">
            <v>2</v>
          </cell>
          <cell r="CV18">
            <v>1</v>
          </cell>
          <cell r="CW18">
            <v>2</v>
          </cell>
          <cell r="CX18">
            <v>0</v>
          </cell>
          <cell r="CY18">
            <v>2</v>
          </cell>
          <cell r="CZ18">
            <v>0</v>
          </cell>
          <cell r="DA18">
            <v>3</v>
          </cell>
          <cell r="DB18">
            <v>1</v>
          </cell>
          <cell r="DC18">
            <v>3</v>
          </cell>
          <cell r="DD18">
            <v>0</v>
          </cell>
          <cell r="DE18">
            <v>1</v>
          </cell>
          <cell r="DF18">
            <v>0</v>
          </cell>
          <cell r="DG18">
            <v>3</v>
          </cell>
          <cell r="DH18">
            <v>0</v>
          </cell>
          <cell r="DI18">
            <v>2</v>
          </cell>
          <cell r="DJ18">
            <v>0</v>
          </cell>
          <cell r="DK18">
            <v>2</v>
          </cell>
          <cell r="DL18">
            <v>2</v>
          </cell>
          <cell r="DM18">
            <v>2</v>
          </cell>
          <cell r="DN18">
            <v>0</v>
          </cell>
          <cell r="DO18">
            <v>2</v>
          </cell>
          <cell r="DP18">
            <v>2</v>
          </cell>
          <cell r="DQ18">
            <v>1</v>
          </cell>
          <cell r="DR18">
            <v>1</v>
          </cell>
          <cell r="DS18">
            <v>0</v>
          </cell>
          <cell r="DT18">
            <v>2</v>
          </cell>
          <cell r="DU18">
            <v>1</v>
          </cell>
          <cell r="DV18">
            <v>1</v>
          </cell>
          <cell r="DW18">
            <v>2</v>
          </cell>
          <cell r="DX18">
            <v>0</v>
          </cell>
          <cell r="DY18">
            <v>3</v>
          </cell>
          <cell r="DZ18">
            <v>1</v>
          </cell>
        </row>
        <row r="19">
          <cell r="A19">
            <v>15</v>
          </cell>
          <cell r="B19" t="str">
            <v>Felipe Fonseca</v>
          </cell>
          <cell r="C19">
            <v>2</v>
          </cell>
          <cell r="D19">
            <v>0</v>
          </cell>
          <cell r="E19">
            <v>0</v>
          </cell>
          <cell r="F19">
            <v>3</v>
          </cell>
          <cell r="G19">
            <v>2</v>
          </cell>
          <cell r="H19">
            <v>2</v>
          </cell>
          <cell r="I19">
            <v>2</v>
          </cell>
          <cell r="J19">
            <v>5</v>
          </cell>
          <cell r="K19">
            <v>2</v>
          </cell>
          <cell r="L19">
            <v>0</v>
          </cell>
          <cell r="M19">
            <v>3</v>
          </cell>
          <cell r="N19">
            <v>1</v>
          </cell>
          <cell r="O19">
            <v>0</v>
          </cell>
          <cell r="P19">
            <v>2</v>
          </cell>
          <cell r="Q19">
            <v>2</v>
          </cell>
          <cell r="R19">
            <v>2</v>
          </cell>
          <cell r="S19">
            <v>3</v>
          </cell>
          <cell r="T19">
            <v>3</v>
          </cell>
          <cell r="U19">
            <v>2</v>
          </cell>
          <cell r="V19">
            <v>1</v>
          </cell>
          <cell r="W19">
            <v>2</v>
          </cell>
          <cell r="X19">
            <v>0</v>
          </cell>
          <cell r="Y19">
            <v>3</v>
          </cell>
          <cell r="Z19">
            <v>1</v>
          </cell>
          <cell r="AA19">
            <v>3</v>
          </cell>
          <cell r="AB19">
            <v>0</v>
          </cell>
          <cell r="AC19">
            <v>0</v>
          </cell>
          <cell r="AD19">
            <v>1</v>
          </cell>
          <cell r="AE19">
            <v>3</v>
          </cell>
          <cell r="AF19">
            <v>2</v>
          </cell>
          <cell r="AG19">
            <v>2</v>
          </cell>
          <cell r="AH19">
            <v>2</v>
          </cell>
          <cell r="AI19">
            <v>1</v>
          </cell>
          <cell r="AJ19">
            <v>0</v>
          </cell>
          <cell r="AK19">
            <v>3</v>
          </cell>
          <cell r="AL19">
            <v>1</v>
          </cell>
          <cell r="AM19">
            <v>4</v>
          </cell>
          <cell r="AN19">
            <v>0</v>
          </cell>
          <cell r="AO19">
            <v>0</v>
          </cell>
          <cell r="AP19">
            <v>4</v>
          </cell>
          <cell r="AQ19">
            <v>3</v>
          </cell>
          <cell r="AR19">
            <v>0</v>
          </cell>
          <cell r="AS19">
            <v>1</v>
          </cell>
          <cell r="AT19">
            <v>0</v>
          </cell>
          <cell r="AU19">
            <v>0</v>
          </cell>
          <cell r="AV19">
            <v>0</v>
          </cell>
          <cell r="AW19">
            <v>3</v>
          </cell>
          <cell r="AX19">
            <v>0</v>
          </cell>
          <cell r="AY19">
            <v>2</v>
          </cell>
          <cell r="AZ19">
            <v>3</v>
          </cell>
          <cell r="BA19">
            <v>1</v>
          </cell>
          <cell r="BB19">
            <v>1</v>
          </cell>
          <cell r="BC19">
            <v>2</v>
          </cell>
          <cell r="BD19">
            <v>1</v>
          </cell>
          <cell r="BE19">
            <v>4</v>
          </cell>
          <cell r="BF19">
            <v>2</v>
          </cell>
          <cell r="BG19">
            <v>1</v>
          </cell>
          <cell r="BH19">
            <v>2</v>
          </cell>
          <cell r="BI19">
            <v>2</v>
          </cell>
          <cell r="BJ19">
            <v>0</v>
          </cell>
          <cell r="BK19">
            <v>1</v>
          </cell>
          <cell r="BL19">
            <v>2</v>
          </cell>
          <cell r="BM19">
            <v>0</v>
          </cell>
          <cell r="BN19">
            <v>0</v>
          </cell>
          <cell r="BO19">
            <v>2</v>
          </cell>
          <cell r="BP19">
            <v>0</v>
          </cell>
          <cell r="BQ19">
            <v>1</v>
          </cell>
          <cell r="BR19">
            <v>3</v>
          </cell>
          <cell r="BS19">
            <v>3</v>
          </cell>
          <cell r="BT19">
            <v>1</v>
          </cell>
          <cell r="BU19">
            <v>0</v>
          </cell>
          <cell r="BV19">
            <v>2</v>
          </cell>
          <cell r="BW19">
            <v>1</v>
          </cell>
          <cell r="BX19">
            <v>2</v>
          </cell>
          <cell r="BY19">
            <v>1</v>
          </cell>
          <cell r="BZ19">
            <v>2</v>
          </cell>
          <cell r="CA19">
            <v>2</v>
          </cell>
          <cell r="CB19">
            <v>1</v>
          </cell>
          <cell r="CC19">
            <v>0</v>
          </cell>
          <cell r="CD19">
            <v>2</v>
          </cell>
          <cell r="CE19">
            <v>0</v>
          </cell>
          <cell r="CF19">
            <v>3</v>
          </cell>
          <cell r="CG19">
            <v>3</v>
          </cell>
          <cell r="CH19">
            <v>2</v>
          </cell>
          <cell r="CI19">
            <v>2</v>
          </cell>
          <cell r="CJ19">
            <v>4</v>
          </cell>
          <cell r="CK19">
            <v>1</v>
          </cell>
          <cell r="CL19">
            <v>2</v>
          </cell>
          <cell r="CM19">
            <v>0</v>
          </cell>
          <cell r="CN19">
            <v>2</v>
          </cell>
          <cell r="CO19">
            <v>1</v>
          </cell>
          <cell r="CP19">
            <v>3</v>
          </cell>
          <cell r="CQ19">
            <v>1</v>
          </cell>
          <cell r="CR19">
            <v>2</v>
          </cell>
          <cell r="CS19">
            <v>3</v>
          </cell>
          <cell r="CT19">
            <v>0</v>
          </cell>
          <cell r="CU19">
            <v>4</v>
          </cell>
          <cell r="CV19">
            <v>2</v>
          </cell>
          <cell r="CW19">
            <v>3</v>
          </cell>
          <cell r="CX19">
            <v>2</v>
          </cell>
          <cell r="CY19">
            <v>2</v>
          </cell>
          <cell r="CZ19">
            <v>0</v>
          </cell>
          <cell r="DA19">
            <v>2</v>
          </cell>
          <cell r="DB19">
            <v>0</v>
          </cell>
          <cell r="DC19">
            <v>3</v>
          </cell>
          <cell r="DD19">
            <v>2</v>
          </cell>
          <cell r="DE19">
            <v>1</v>
          </cell>
          <cell r="DF19">
            <v>2</v>
          </cell>
          <cell r="DG19">
            <v>4</v>
          </cell>
          <cell r="DH19">
            <v>0</v>
          </cell>
          <cell r="DI19">
            <v>3</v>
          </cell>
          <cell r="DJ19">
            <v>1</v>
          </cell>
          <cell r="DK19">
            <v>1</v>
          </cell>
          <cell r="DL19">
            <v>2</v>
          </cell>
          <cell r="DM19">
            <v>3</v>
          </cell>
          <cell r="DN19">
            <v>0</v>
          </cell>
          <cell r="DO19">
            <v>3</v>
          </cell>
          <cell r="DP19">
            <v>1</v>
          </cell>
          <cell r="DQ19">
            <v>4</v>
          </cell>
          <cell r="DR19">
            <v>1</v>
          </cell>
          <cell r="DS19">
            <v>2</v>
          </cell>
          <cell r="DT19">
            <v>4</v>
          </cell>
          <cell r="DU19">
            <v>2</v>
          </cell>
          <cell r="DV19">
            <v>3</v>
          </cell>
          <cell r="DW19">
            <v>1</v>
          </cell>
          <cell r="DX19">
            <v>3</v>
          </cell>
          <cell r="DY19">
            <v>0</v>
          </cell>
          <cell r="DZ19">
            <v>1</v>
          </cell>
        </row>
        <row r="20">
          <cell r="A20">
            <v>16</v>
          </cell>
          <cell r="B20" t="str">
            <v>Miguel A Ospina</v>
          </cell>
          <cell r="C20">
            <v>3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2</v>
          </cell>
          <cell r="J20">
            <v>2</v>
          </cell>
          <cell r="K20">
            <v>2</v>
          </cell>
          <cell r="L20">
            <v>0</v>
          </cell>
          <cell r="M20">
            <v>3</v>
          </cell>
          <cell r="N20">
            <v>0</v>
          </cell>
          <cell r="O20">
            <v>1</v>
          </cell>
          <cell r="P20">
            <v>1</v>
          </cell>
          <cell r="Q20">
            <v>2</v>
          </cell>
          <cell r="R20">
            <v>0</v>
          </cell>
          <cell r="S20">
            <v>2</v>
          </cell>
          <cell r="T20">
            <v>1</v>
          </cell>
          <cell r="U20">
            <v>3</v>
          </cell>
          <cell r="V20">
            <v>1</v>
          </cell>
          <cell r="W20">
            <v>1</v>
          </cell>
          <cell r="X20">
            <v>1</v>
          </cell>
          <cell r="Y20">
            <v>2</v>
          </cell>
          <cell r="Z20">
            <v>1</v>
          </cell>
          <cell r="AA20">
            <v>3</v>
          </cell>
          <cell r="AB20">
            <v>0</v>
          </cell>
          <cell r="AC20">
            <v>1</v>
          </cell>
          <cell r="AD20">
            <v>1</v>
          </cell>
          <cell r="AE20">
            <v>2</v>
          </cell>
          <cell r="AF20">
            <v>0</v>
          </cell>
          <cell r="AG20">
            <v>1</v>
          </cell>
          <cell r="AH20">
            <v>1</v>
          </cell>
          <cell r="AI20">
            <v>2</v>
          </cell>
          <cell r="AJ20">
            <v>0</v>
          </cell>
          <cell r="AK20">
            <v>2</v>
          </cell>
          <cell r="AL20">
            <v>1</v>
          </cell>
          <cell r="AM20">
            <v>2</v>
          </cell>
          <cell r="AN20">
            <v>1</v>
          </cell>
          <cell r="AO20">
            <v>0</v>
          </cell>
          <cell r="AP20">
            <v>3</v>
          </cell>
          <cell r="AQ20">
            <v>2</v>
          </cell>
          <cell r="AR20">
            <v>1</v>
          </cell>
          <cell r="AS20">
            <v>2</v>
          </cell>
          <cell r="AT20">
            <v>1</v>
          </cell>
          <cell r="AU20">
            <v>1</v>
          </cell>
          <cell r="AV20">
            <v>1</v>
          </cell>
          <cell r="AW20">
            <v>3</v>
          </cell>
          <cell r="AX20">
            <v>0</v>
          </cell>
          <cell r="AY20">
            <v>2</v>
          </cell>
          <cell r="AZ20">
            <v>1</v>
          </cell>
          <cell r="BA20">
            <v>0</v>
          </cell>
          <cell r="BB20">
            <v>2</v>
          </cell>
          <cell r="BC20">
            <v>2</v>
          </cell>
          <cell r="BD20">
            <v>1</v>
          </cell>
          <cell r="BE20">
            <v>2</v>
          </cell>
          <cell r="BF20">
            <v>0</v>
          </cell>
          <cell r="BG20">
            <v>1</v>
          </cell>
          <cell r="BH20">
            <v>2</v>
          </cell>
          <cell r="BI20">
            <v>2</v>
          </cell>
          <cell r="BJ20">
            <v>0</v>
          </cell>
          <cell r="BK20">
            <v>1</v>
          </cell>
          <cell r="BL20">
            <v>2</v>
          </cell>
          <cell r="BM20">
            <v>0</v>
          </cell>
          <cell r="BN20">
            <v>2</v>
          </cell>
          <cell r="BO20">
            <v>0</v>
          </cell>
          <cell r="BP20">
            <v>1</v>
          </cell>
          <cell r="BQ20">
            <v>2</v>
          </cell>
          <cell r="BR20">
            <v>2</v>
          </cell>
          <cell r="BS20">
            <v>2</v>
          </cell>
          <cell r="BT20">
            <v>1</v>
          </cell>
          <cell r="BU20">
            <v>0</v>
          </cell>
          <cell r="BV20">
            <v>1</v>
          </cell>
          <cell r="BW20">
            <v>1</v>
          </cell>
          <cell r="BX20">
            <v>3</v>
          </cell>
          <cell r="BY20">
            <v>0</v>
          </cell>
          <cell r="BZ20">
            <v>1</v>
          </cell>
          <cell r="CA20">
            <v>1</v>
          </cell>
          <cell r="CB20">
            <v>1</v>
          </cell>
          <cell r="CC20">
            <v>1</v>
          </cell>
          <cell r="CD20">
            <v>2</v>
          </cell>
          <cell r="CE20">
            <v>0</v>
          </cell>
          <cell r="CF20">
            <v>5</v>
          </cell>
          <cell r="CG20">
            <v>2</v>
          </cell>
          <cell r="CH20">
            <v>1</v>
          </cell>
          <cell r="CI20">
            <v>0</v>
          </cell>
          <cell r="CJ20">
            <v>4</v>
          </cell>
          <cell r="CK20">
            <v>1</v>
          </cell>
          <cell r="CL20">
            <v>0</v>
          </cell>
          <cell r="CM20">
            <v>0</v>
          </cell>
          <cell r="CN20">
            <v>3</v>
          </cell>
          <cell r="CO20">
            <v>0</v>
          </cell>
          <cell r="CP20">
            <v>1</v>
          </cell>
          <cell r="CQ20">
            <v>1</v>
          </cell>
          <cell r="CR20">
            <v>2</v>
          </cell>
          <cell r="CS20">
            <v>0</v>
          </cell>
          <cell r="CT20">
            <v>2</v>
          </cell>
          <cell r="CU20">
            <v>1</v>
          </cell>
          <cell r="CV20">
            <v>2</v>
          </cell>
          <cell r="CW20">
            <v>2</v>
          </cell>
          <cell r="CX20">
            <v>1</v>
          </cell>
          <cell r="CY20">
            <v>3</v>
          </cell>
          <cell r="CZ20">
            <v>1</v>
          </cell>
          <cell r="DA20">
            <v>3</v>
          </cell>
          <cell r="DB20">
            <v>0</v>
          </cell>
          <cell r="DC20">
            <v>2</v>
          </cell>
          <cell r="DD20">
            <v>1</v>
          </cell>
          <cell r="DE20">
            <v>1</v>
          </cell>
          <cell r="DF20">
            <v>2</v>
          </cell>
          <cell r="DG20">
            <v>3</v>
          </cell>
          <cell r="DH20">
            <v>1</v>
          </cell>
          <cell r="DI20">
            <v>1</v>
          </cell>
          <cell r="DJ20">
            <v>0</v>
          </cell>
          <cell r="DK20">
            <v>1</v>
          </cell>
          <cell r="DL20">
            <v>0</v>
          </cell>
          <cell r="DM20">
            <v>2</v>
          </cell>
          <cell r="DN20">
            <v>0</v>
          </cell>
          <cell r="DO20">
            <v>3</v>
          </cell>
          <cell r="DP20">
            <v>1</v>
          </cell>
          <cell r="DQ20">
            <v>3</v>
          </cell>
          <cell r="DR20">
            <v>2</v>
          </cell>
          <cell r="DS20">
            <v>1</v>
          </cell>
          <cell r="DT20">
            <v>2</v>
          </cell>
          <cell r="DU20">
            <v>2</v>
          </cell>
          <cell r="DV20">
            <v>1</v>
          </cell>
          <cell r="DW20">
            <v>1</v>
          </cell>
          <cell r="DX20">
            <v>2</v>
          </cell>
          <cell r="DY20">
            <v>1</v>
          </cell>
          <cell r="DZ20">
            <v>2</v>
          </cell>
        </row>
        <row r="21">
          <cell r="A21">
            <v>17</v>
          </cell>
          <cell r="B21" t="str">
            <v>Christian Benitez</v>
          </cell>
          <cell r="C21">
            <v>3</v>
          </cell>
          <cell r="D21">
            <v>1</v>
          </cell>
          <cell r="E21">
            <v>1</v>
          </cell>
          <cell r="F21">
            <v>2</v>
          </cell>
          <cell r="G21">
            <v>1</v>
          </cell>
          <cell r="H21">
            <v>1</v>
          </cell>
          <cell r="I21">
            <v>1</v>
          </cell>
          <cell r="J21">
            <v>2</v>
          </cell>
          <cell r="K21">
            <v>2</v>
          </cell>
          <cell r="L21">
            <v>1</v>
          </cell>
          <cell r="M21">
            <v>3</v>
          </cell>
          <cell r="N21">
            <v>0</v>
          </cell>
          <cell r="O21">
            <v>1</v>
          </cell>
          <cell r="P21">
            <v>1</v>
          </cell>
          <cell r="Q21">
            <v>1</v>
          </cell>
          <cell r="R21">
            <v>2</v>
          </cell>
          <cell r="S21">
            <v>1</v>
          </cell>
          <cell r="T21">
            <v>1</v>
          </cell>
          <cell r="U21">
            <v>3</v>
          </cell>
          <cell r="V21">
            <v>1</v>
          </cell>
          <cell r="W21">
            <v>3</v>
          </cell>
          <cell r="X21">
            <v>1</v>
          </cell>
          <cell r="Y21">
            <v>2</v>
          </cell>
          <cell r="Z21">
            <v>1</v>
          </cell>
          <cell r="AA21">
            <v>3</v>
          </cell>
          <cell r="AB21">
            <v>1</v>
          </cell>
          <cell r="AC21">
            <v>1</v>
          </cell>
          <cell r="AD21">
            <v>2</v>
          </cell>
          <cell r="AE21">
            <v>2</v>
          </cell>
          <cell r="AF21">
            <v>0</v>
          </cell>
          <cell r="AG21">
            <v>2</v>
          </cell>
          <cell r="AH21">
            <v>1</v>
          </cell>
          <cell r="AI21">
            <v>2</v>
          </cell>
          <cell r="AJ21">
            <v>0</v>
          </cell>
          <cell r="AK21">
            <v>2</v>
          </cell>
          <cell r="AL21">
            <v>1</v>
          </cell>
          <cell r="AM21">
            <v>2</v>
          </cell>
          <cell r="AN21">
            <v>1</v>
          </cell>
          <cell r="AO21">
            <v>0</v>
          </cell>
          <cell r="AP21">
            <v>3</v>
          </cell>
          <cell r="AQ21">
            <v>2</v>
          </cell>
          <cell r="AR21">
            <v>0</v>
          </cell>
          <cell r="AS21">
            <v>1</v>
          </cell>
          <cell r="AT21">
            <v>2</v>
          </cell>
          <cell r="AU21">
            <v>2</v>
          </cell>
          <cell r="AV21">
            <v>1</v>
          </cell>
          <cell r="AW21">
            <v>4</v>
          </cell>
          <cell r="AX21">
            <v>0</v>
          </cell>
          <cell r="AY21">
            <v>2</v>
          </cell>
          <cell r="AZ21">
            <v>0</v>
          </cell>
          <cell r="BA21">
            <v>0</v>
          </cell>
          <cell r="BB21">
            <v>2</v>
          </cell>
          <cell r="BC21">
            <v>2</v>
          </cell>
          <cell r="BD21">
            <v>1</v>
          </cell>
          <cell r="BE21">
            <v>3</v>
          </cell>
          <cell r="BF21">
            <v>1</v>
          </cell>
          <cell r="BG21">
            <v>1</v>
          </cell>
          <cell r="BH21">
            <v>2</v>
          </cell>
          <cell r="BI21">
            <v>3</v>
          </cell>
          <cell r="BJ21">
            <v>0</v>
          </cell>
          <cell r="BK21">
            <v>2</v>
          </cell>
          <cell r="BL21">
            <v>1</v>
          </cell>
          <cell r="BM21">
            <v>0</v>
          </cell>
          <cell r="BN21">
            <v>1</v>
          </cell>
          <cell r="BO21">
            <v>2</v>
          </cell>
          <cell r="BP21">
            <v>1</v>
          </cell>
          <cell r="BQ21">
            <v>0</v>
          </cell>
          <cell r="BR21">
            <v>0</v>
          </cell>
          <cell r="BS21">
            <v>3</v>
          </cell>
          <cell r="BT21">
            <v>0</v>
          </cell>
          <cell r="BU21">
            <v>1</v>
          </cell>
          <cell r="BV21">
            <v>2</v>
          </cell>
          <cell r="BW21">
            <v>0</v>
          </cell>
          <cell r="BX21">
            <v>2</v>
          </cell>
          <cell r="BY21">
            <v>1</v>
          </cell>
          <cell r="BZ21">
            <v>1</v>
          </cell>
          <cell r="CA21">
            <v>1</v>
          </cell>
          <cell r="CB21">
            <v>2</v>
          </cell>
          <cell r="CC21">
            <v>1</v>
          </cell>
          <cell r="CD21">
            <v>2</v>
          </cell>
          <cell r="CE21">
            <v>1</v>
          </cell>
          <cell r="CF21">
            <v>3</v>
          </cell>
          <cell r="CG21">
            <v>1</v>
          </cell>
          <cell r="CH21">
            <v>1</v>
          </cell>
          <cell r="CI21">
            <v>0</v>
          </cell>
          <cell r="CJ21">
            <v>4</v>
          </cell>
          <cell r="CK21">
            <v>2</v>
          </cell>
          <cell r="CL21">
            <v>1</v>
          </cell>
          <cell r="CM21">
            <v>1</v>
          </cell>
          <cell r="CN21">
            <v>2</v>
          </cell>
          <cell r="CO21">
            <v>1</v>
          </cell>
          <cell r="CP21">
            <v>2</v>
          </cell>
          <cell r="CQ21">
            <v>2</v>
          </cell>
          <cell r="CR21">
            <v>2</v>
          </cell>
          <cell r="CS21">
            <v>1</v>
          </cell>
          <cell r="CT21">
            <v>2</v>
          </cell>
          <cell r="CU21">
            <v>2</v>
          </cell>
          <cell r="CV21">
            <v>1</v>
          </cell>
          <cell r="CW21">
            <v>1</v>
          </cell>
          <cell r="CX21">
            <v>1</v>
          </cell>
          <cell r="CY21">
            <v>2</v>
          </cell>
          <cell r="CZ21">
            <v>1</v>
          </cell>
          <cell r="DA21">
            <v>2</v>
          </cell>
          <cell r="DB21">
            <v>1</v>
          </cell>
          <cell r="DC21">
            <v>3</v>
          </cell>
          <cell r="DD21">
            <v>1</v>
          </cell>
          <cell r="DE21">
            <v>1</v>
          </cell>
          <cell r="DF21">
            <v>1</v>
          </cell>
          <cell r="DG21">
            <v>3</v>
          </cell>
          <cell r="DH21">
            <v>1</v>
          </cell>
          <cell r="DI21">
            <v>1</v>
          </cell>
          <cell r="DJ21">
            <v>1</v>
          </cell>
          <cell r="DK21">
            <v>2</v>
          </cell>
          <cell r="DL21">
            <v>1</v>
          </cell>
          <cell r="DM21">
            <v>2</v>
          </cell>
          <cell r="DN21">
            <v>2</v>
          </cell>
          <cell r="DO21">
            <v>3</v>
          </cell>
          <cell r="DP21">
            <v>1</v>
          </cell>
          <cell r="DQ21">
            <v>2</v>
          </cell>
          <cell r="DR21">
            <v>1</v>
          </cell>
          <cell r="DS21">
            <v>1</v>
          </cell>
          <cell r="DT21">
            <v>1</v>
          </cell>
          <cell r="DU21">
            <v>1</v>
          </cell>
          <cell r="DV21">
            <v>1</v>
          </cell>
          <cell r="DW21">
            <v>1</v>
          </cell>
          <cell r="DX21">
            <v>2</v>
          </cell>
          <cell r="DY21">
            <v>1</v>
          </cell>
          <cell r="DZ21">
            <v>2</v>
          </cell>
        </row>
        <row r="22">
          <cell r="A22">
            <v>18</v>
          </cell>
          <cell r="B22" t="str">
            <v>Andres Harker</v>
          </cell>
          <cell r="C22">
            <v>2</v>
          </cell>
          <cell r="D22">
            <v>1</v>
          </cell>
          <cell r="E22">
            <v>1</v>
          </cell>
          <cell r="F22">
            <v>2</v>
          </cell>
          <cell r="G22">
            <v>1</v>
          </cell>
          <cell r="H22">
            <v>2</v>
          </cell>
          <cell r="I22">
            <v>2</v>
          </cell>
          <cell r="J22">
            <v>2</v>
          </cell>
          <cell r="K22">
            <v>3</v>
          </cell>
          <cell r="L22">
            <v>0</v>
          </cell>
          <cell r="M22">
            <v>2</v>
          </cell>
          <cell r="N22">
            <v>1</v>
          </cell>
          <cell r="O22">
            <v>2</v>
          </cell>
          <cell r="P22">
            <v>1</v>
          </cell>
          <cell r="Q22">
            <v>2</v>
          </cell>
          <cell r="R22">
            <v>1</v>
          </cell>
          <cell r="S22">
            <v>2</v>
          </cell>
          <cell r="T22">
            <v>1</v>
          </cell>
          <cell r="U22">
            <v>2</v>
          </cell>
          <cell r="V22">
            <v>0</v>
          </cell>
          <cell r="W22">
            <v>3</v>
          </cell>
          <cell r="X22">
            <v>0</v>
          </cell>
          <cell r="Y22">
            <v>1</v>
          </cell>
          <cell r="Z22">
            <v>1</v>
          </cell>
          <cell r="AA22">
            <v>3</v>
          </cell>
          <cell r="AB22">
            <v>1</v>
          </cell>
          <cell r="AC22">
            <v>0</v>
          </cell>
          <cell r="AD22">
            <v>2</v>
          </cell>
          <cell r="AE22">
            <v>2</v>
          </cell>
          <cell r="AF22">
            <v>1</v>
          </cell>
          <cell r="AG22">
            <v>3</v>
          </cell>
          <cell r="AH22">
            <v>1</v>
          </cell>
          <cell r="AI22">
            <v>1</v>
          </cell>
          <cell r="AJ22">
            <v>1</v>
          </cell>
          <cell r="AK22">
            <v>3</v>
          </cell>
          <cell r="AL22">
            <v>0</v>
          </cell>
          <cell r="AM22">
            <v>3</v>
          </cell>
          <cell r="AN22">
            <v>0</v>
          </cell>
          <cell r="AO22">
            <v>0</v>
          </cell>
          <cell r="AP22">
            <v>3</v>
          </cell>
          <cell r="AQ22">
            <v>3</v>
          </cell>
          <cell r="AR22">
            <v>1</v>
          </cell>
          <cell r="AS22">
            <v>1</v>
          </cell>
          <cell r="AT22">
            <v>1</v>
          </cell>
          <cell r="AU22">
            <v>1</v>
          </cell>
          <cell r="AV22">
            <v>1</v>
          </cell>
          <cell r="AW22">
            <v>2</v>
          </cell>
          <cell r="AX22">
            <v>0</v>
          </cell>
          <cell r="AY22">
            <v>1</v>
          </cell>
          <cell r="AZ22">
            <v>1</v>
          </cell>
          <cell r="BA22">
            <v>1</v>
          </cell>
          <cell r="BB22">
            <v>1</v>
          </cell>
          <cell r="BC22">
            <v>3</v>
          </cell>
          <cell r="BD22">
            <v>0</v>
          </cell>
          <cell r="BE22">
            <v>3</v>
          </cell>
          <cell r="BF22">
            <v>1</v>
          </cell>
          <cell r="BG22">
            <v>1</v>
          </cell>
          <cell r="BH22">
            <v>1</v>
          </cell>
          <cell r="BI22">
            <v>3</v>
          </cell>
          <cell r="BJ22">
            <v>0</v>
          </cell>
          <cell r="BK22">
            <v>1</v>
          </cell>
          <cell r="BL22">
            <v>1</v>
          </cell>
          <cell r="BM22">
            <v>2</v>
          </cell>
          <cell r="BN22">
            <v>2</v>
          </cell>
          <cell r="BO22">
            <v>2</v>
          </cell>
          <cell r="BP22">
            <v>2</v>
          </cell>
          <cell r="BQ22">
            <v>1</v>
          </cell>
          <cell r="BR22">
            <v>3</v>
          </cell>
          <cell r="BS22">
            <v>2</v>
          </cell>
          <cell r="BT22">
            <v>0</v>
          </cell>
          <cell r="BU22">
            <v>1</v>
          </cell>
          <cell r="BV22">
            <v>3</v>
          </cell>
          <cell r="BW22">
            <v>0</v>
          </cell>
          <cell r="BX22">
            <v>2</v>
          </cell>
          <cell r="BY22">
            <v>1</v>
          </cell>
          <cell r="BZ22">
            <v>2</v>
          </cell>
          <cell r="CA22">
            <v>1</v>
          </cell>
          <cell r="CB22">
            <v>1</v>
          </cell>
          <cell r="CC22">
            <v>2</v>
          </cell>
          <cell r="CD22">
            <v>2</v>
          </cell>
          <cell r="CE22">
            <v>0</v>
          </cell>
          <cell r="CF22">
            <v>4</v>
          </cell>
          <cell r="CG22">
            <v>2</v>
          </cell>
          <cell r="CH22">
            <v>1</v>
          </cell>
          <cell r="CI22">
            <v>0</v>
          </cell>
          <cell r="CJ22">
            <v>3</v>
          </cell>
          <cell r="CK22">
            <v>1</v>
          </cell>
          <cell r="CL22">
            <v>1</v>
          </cell>
          <cell r="CM22">
            <v>1</v>
          </cell>
          <cell r="CN22">
            <v>2</v>
          </cell>
          <cell r="CO22">
            <v>1</v>
          </cell>
          <cell r="CP22">
            <v>1</v>
          </cell>
          <cell r="CQ22">
            <v>2</v>
          </cell>
          <cell r="CR22">
            <v>2</v>
          </cell>
          <cell r="CS22">
            <v>1</v>
          </cell>
          <cell r="CT22">
            <v>0</v>
          </cell>
          <cell r="CU22">
            <v>2</v>
          </cell>
          <cell r="CV22">
            <v>1</v>
          </cell>
          <cell r="CW22">
            <v>1</v>
          </cell>
          <cell r="CX22">
            <v>1</v>
          </cell>
          <cell r="CY22">
            <v>3</v>
          </cell>
          <cell r="CZ22">
            <v>0</v>
          </cell>
          <cell r="DA22">
            <v>2</v>
          </cell>
          <cell r="DB22">
            <v>1</v>
          </cell>
          <cell r="DC22">
            <v>3</v>
          </cell>
          <cell r="DD22">
            <v>1</v>
          </cell>
          <cell r="DE22">
            <v>1</v>
          </cell>
          <cell r="DF22">
            <v>1</v>
          </cell>
          <cell r="DG22">
            <v>3</v>
          </cell>
          <cell r="DH22">
            <v>0</v>
          </cell>
          <cell r="DI22">
            <v>1</v>
          </cell>
          <cell r="DJ22">
            <v>2</v>
          </cell>
          <cell r="DK22">
            <v>2</v>
          </cell>
          <cell r="DL22">
            <v>1</v>
          </cell>
          <cell r="DM22">
            <v>2</v>
          </cell>
          <cell r="DN22">
            <v>1</v>
          </cell>
          <cell r="DO22">
            <v>2</v>
          </cell>
          <cell r="DP22">
            <v>1</v>
          </cell>
          <cell r="DQ22">
            <v>2</v>
          </cell>
          <cell r="DR22">
            <v>1</v>
          </cell>
          <cell r="DS22">
            <v>1</v>
          </cell>
          <cell r="DT22">
            <v>2</v>
          </cell>
          <cell r="DU22">
            <v>1</v>
          </cell>
          <cell r="DV22">
            <v>2</v>
          </cell>
          <cell r="DW22">
            <v>1</v>
          </cell>
          <cell r="DX22">
            <v>2</v>
          </cell>
          <cell r="DY22">
            <v>1</v>
          </cell>
          <cell r="DZ22">
            <v>2</v>
          </cell>
        </row>
        <row r="23">
          <cell r="A23">
            <v>19</v>
          </cell>
          <cell r="B23" t="str">
            <v>John Rojas</v>
          </cell>
          <cell r="C23">
            <v>2</v>
          </cell>
          <cell r="D23">
            <v>0</v>
          </cell>
          <cell r="E23">
            <v>1</v>
          </cell>
          <cell r="F23">
            <v>2</v>
          </cell>
          <cell r="G23">
            <v>2</v>
          </cell>
          <cell r="H23">
            <v>0</v>
          </cell>
          <cell r="I23">
            <v>2</v>
          </cell>
          <cell r="J23">
            <v>2</v>
          </cell>
          <cell r="K23">
            <v>2</v>
          </cell>
          <cell r="L23">
            <v>1</v>
          </cell>
          <cell r="M23">
            <v>3</v>
          </cell>
          <cell r="N23">
            <v>0</v>
          </cell>
          <cell r="O23">
            <v>2</v>
          </cell>
          <cell r="P23">
            <v>0</v>
          </cell>
          <cell r="Q23">
            <v>2</v>
          </cell>
          <cell r="R23">
            <v>0</v>
          </cell>
          <cell r="S23">
            <v>1</v>
          </cell>
          <cell r="T23">
            <v>0</v>
          </cell>
          <cell r="U23">
            <v>3</v>
          </cell>
          <cell r="V23">
            <v>0</v>
          </cell>
          <cell r="W23">
            <v>2</v>
          </cell>
          <cell r="X23">
            <v>0</v>
          </cell>
          <cell r="Y23">
            <v>2</v>
          </cell>
          <cell r="Z23">
            <v>0</v>
          </cell>
          <cell r="AA23">
            <v>2</v>
          </cell>
          <cell r="AB23">
            <v>1</v>
          </cell>
          <cell r="AC23">
            <v>0</v>
          </cell>
          <cell r="AD23">
            <v>2</v>
          </cell>
          <cell r="AE23">
            <v>2</v>
          </cell>
          <cell r="AF23">
            <v>1</v>
          </cell>
          <cell r="AG23">
            <v>2</v>
          </cell>
          <cell r="AH23">
            <v>0</v>
          </cell>
          <cell r="AI23">
            <v>3</v>
          </cell>
          <cell r="AJ23">
            <v>0</v>
          </cell>
          <cell r="AK23">
            <v>3</v>
          </cell>
          <cell r="AL23">
            <v>1</v>
          </cell>
          <cell r="AM23">
            <v>2</v>
          </cell>
          <cell r="AN23">
            <v>0</v>
          </cell>
          <cell r="AO23">
            <v>0</v>
          </cell>
          <cell r="AP23">
            <v>2</v>
          </cell>
          <cell r="AQ23">
            <v>2</v>
          </cell>
          <cell r="AR23">
            <v>1</v>
          </cell>
          <cell r="AS23">
            <v>2</v>
          </cell>
          <cell r="AT23">
            <v>0</v>
          </cell>
          <cell r="AU23">
            <v>3</v>
          </cell>
          <cell r="AV23">
            <v>1</v>
          </cell>
          <cell r="AW23">
            <v>3</v>
          </cell>
          <cell r="AX23">
            <v>0</v>
          </cell>
          <cell r="AY23">
            <v>2</v>
          </cell>
          <cell r="AZ23">
            <v>0</v>
          </cell>
          <cell r="BA23">
            <v>0</v>
          </cell>
          <cell r="BB23">
            <v>1</v>
          </cell>
          <cell r="BC23">
            <v>2</v>
          </cell>
          <cell r="BD23">
            <v>1</v>
          </cell>
          <cell r="BE23">
            <v>3</v>
          </cell>
          <cell r="BF23">
            <v>0</v>
          </cell>
          <cell r="BG23">
            <v>1</v>
          </cell>
          <cell r="BH23">
            <v>2</v>
          </cell>
          <cell r="BI23">
            <v>4</v>
          </cell>
          <cell r="BJ23">
            <v>0</v>
          </cell>
          <cell r="BK23">
            <v>0</v>
          </cell>
          <cell r="BL23">
            <v>2</v>
          </cell>
          <cell r="BM23">
            <v>0</v>
          </cell>
          <cell r="BN23">
            <v>2</v>
          </cell>
          <cell r="BO23">
            <v>2</v>
          </cell>
          <cell r="BP23">
            <v>1</v>
          </cell>
          <cell r="BQ23">
            <v>0</v>
          </cell>
          <cell r="BR23">
            <v>2</v>
          </cell>
          <cell r="BS23">
            <v>2</v>
          </cell>
          <cell r="BT23">
            <v>0</v>
          </cell>
          <cell r="BU23">
            <v>0</v>
          </cell>
          <cell r="BV23">
            <v>3</v>
          </cell>
          <cell r="BW23">
            <v>1</v>
          </cell>
          <cell r="BX23">
            <v>3</v>
          </cell>
          <cell r="BY23">
            <v>0</v>
          </cell>
          <cell r="BZ23">
            <v>1</v>
          </cell>
          <cell r="CA23">
            <v>1</v>
          </cell>
          <cell r="CB23">
            <v>3</v>
          </cell>
          <cell r="CC23">
            <v>0</v>
          </cell>
          <cell r="CD23">
            <v>2</v>
          </cell>
          <cell r="CE23">
            <v>0</v>
          </cell>
          <cell r="CF23">
            <v>3</v>
          </cell>
          <cell r="CG23">
            <v>2</v>
          </cell>
          <cell r="CH23">
            <v>1</v>
          </cell>
          <cell r="CI23">
            <v>0</v>
          </cell>
          <cell r="CJ23">
            <v>4</v>
          </cell>
          <cell r="CK23">
            <v>2</v>
          </cell>
          <cell r="CL23">
            <v>1</v>
          </cell>
          <cell r="CM23">
            <v>1</v>
          </cell>
          <cell r="CN23">
            <v>2</v>
          </cell>
          <cell r="CO23">
            <v>1</v>
          </cell>
          <cell r="CP23">
            <v>3</v>
          </cell>
          <cell r="CQ23">
            <v>2</v>
          </cell>
          <cell r="CR23">
            <v>1</v>
          </cell>
          <cell r="CS23">
            <v>2</v>
          </cell>
          <cell r="CT23">
            <v>1</v>
          </cell>
          <cell r="CU23">
            <v>2</v>
          </cell>
          <cell r="CV23">
            <v>1</v>
          </cell>
          <cell r="CW23">
            <v>2</v>
          </cell>
          <cell r="CX23">
            <v>1</v>
          </cell>
          <cell r="CY23">
            <v>2</v>
          </cell>
          <cell r="CZ23">
            <v>0</v>
          </cell>
          <cell r="DA23">
            <v>2</v>
          </cell>
          <cell r="DB23">
            <v>1</v>
          </cell>
          <cell r="DC23">
            <v>3</v>
          </cell>
          <cell r="DD23">
            <v>0</v>
          </cell>
          <cell r="DE23">
            <v>2</v>
          </cell>
          <cell r="DF23">
            <v>0</v>
          </cell>
          <cell r="DG23">
            <v>2</v>
          </cell>
          <cell r="DH23">
            <v>0</v>
          </cell>
          <cell r="DI23">
            <v>2</v>
          </cell>
          <cell r="DJ23">
            <v>1</v>
          </cell>
          <cell r="DK23">
            <v>0</v>
          </cell>
          <cell r="DL23">
            <v>1</v>
          </cell>
          <cell r="DM23">
            <v>2</v>
          </cell>
          <cell r="DN23">
            <v>0</v>
          </cell>
          <cell r="DO23">
            <v>1</v>
          </cell>
          <cell r="DP23">
            <v>1</v>
          </cell>
          <cell r="DQ23">
            <v>1</v>
          </cell>
          <cell r="DR23">
            <v>2</v>
          </cell>
          <cell r="DS23">
            <v>0</v>
          </cell>
          <cell r="DT23">
            <v>2</v>
          </cell>
          <cell r="DU23">
            <v>2</v>
          </cell>
          <cell r="DV23">
            <v>1</v>
          </cell>
          <cell r="DW23">
            <v>1</v>
          </cell>
          <cell r="DX23">
            <v>3</v>
          </cell>
          <cell r="DY23">
            <v>1</v>
          </cell>
          <cell r="DZ23">
            <v>2</v>
          </cell>
        </row>
        <row r="24">
          <cell r="A24">
            <v>20</v>
          </cell>
          <cell r="B24" t="str">
            <v>Alfredo Gómez</v>
          </cell>
          <cell r="C24">
            <v>3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3</v>
          </cell>
          <cell r="I24">
            <v>1</v>
          </cell>
          <cell r="J24">
            <v>1</v>
          </cell>
          <cell r="K24">
            <v>3</v>
          </cell>
          <cell r="L24">
            <v>0</v>
          </cell>
          <cell r="M24">
            <v>3</v>
          </cell>
          <cell r="N24">
            <v>0</v>
          </cell>
          <cell r="O24">
            <v>1</v>
          </cell>
          <cell r="P24">
            <v>2</v>
          </cell>
          <cell r="Q24">
            <v>1</v>
          </cell>
          <cell r="R24">
            <v>3</v>
          </cell>
          <cell r="S24">
            <v>1</v>
          </cell>
          <cell r="T24">
            <v>2</v>
          </cell>
          <cell r="U24">
            <v>4</v>
          </cell>
          <cell r="V24">
            <v>1</v>
          </cell>
          <cell r="W24">
            <v>3</v>
          </cell>
          <cell r="X24">
            <v>0</v>
          </cell>
          <cell r="Y24">
            <v>1</v>
          </cell>
          <cell r="Z24">
            <v>2</v>
          </cell>
          <cell r="AA24">
            <v>4</v>
          </cell>
          <cell r="AB24">
            <v>0</v>
          </cell>
          <cell r="AC24">
            <v>0</v>
          </cell>
          <cell r="AD24">
            <v>5</v>
          </cell>
          <cell r="AE24">
            <v>3</v>
          </cell>
          <cell r="AF24">
            <v>1</v>
          </cell>
          <cell r="AG24">
            <v>2</v>
          </cell>
          <cell r="AH24">
            <v>0</v>
          </cell>
          <cell r="AI24">
            <v>2</v>
          </cell>
          <cell r="AJ24">
            <v>1</v>
          </cell>
          <cell r="AK24">
            <v>3</v>
          </cell>
          <cell r="AL24">
            <v>0</v>
          </cell>
          <cell r="AM24">
            <v>5</v>
          </cell>
          <cell r="AN24">
            <v>0</v>
          </cell>
          <cell r="AO24">
            <v>0</v>
          </cell>
          <cell r="AP24">
            <v>4</v>
          </cell>
          <cell r="AQ24">
            <v>2</v>
          </cell>
          <cell r="AR24">
            <v>0</v>
          </cell>
          <cell r="AS24">
            <v>4</v>
          </cell>
          <cell r="AT24">
            <v>0</v>
          </cell>
          <cell r="AU24">
            <v>2</v>
          </cell>
          <cell r="AV24">
            <v>1</v>
          </cell>
          <cell r="AW24">
            <v>2</v>
          </cell>
          <cell r="AX24">
            <v>0</v>
          </cell>
          <cell r="AY24">
            <v>3</v>
          </cell>
          <cell r="AZ24">
            <v>1</v>
          </cell>
          <cell r="BA24">
            <v>3</v>
          </cell>
          <cell r="BB24">
            <v>1</v>
          </cell>
          <cell r="BC24">
            <v>3</v>
          </cell>
          <cell r="BD24">
            <v>0</v>
          </cell>
          <cell r="BE24">
            <v>3</v>
          </cell>
          <cell r="BF24">
            <v>0</v>
          </cell>
          <cell r="BG24">
            <v>1</v>
          </cell>
          <cell r="BH24">
            <v>2</v>
          </cell>
          <cell r="BI24">
            <v>5</v>
          </cell>
          <cell r="BJ24">
            <v>0</v>
          </cell>
          <cell r="BK24">
            <v>2</v>
          </cell>
          <cell r="BL24">
            <v>0</v>
          </cell>
          <cell r="BM24">
            <v>1</v>
          </cell>
          <cell r="BN24">
            <v>1</v>
          </cell>
          <cell r="BO24">
            <v>2</v>
          </cell>
          <cell r="BP24">
            <v>2</v>
          </cell>
          <cell r="BQ24">
            <v>1</v>
          </cell>
          <cell r="BR24">
            <v>2</v>
          </cell>
          <cell r="BS24">
            <v>4</v>
          </cell>
          <cell r="BT24">
            <v>0</v>
          </cell>
          <cell r="BU24">
            <v>0</v>
          </cell>
          <cell r="BV24">
            <v>3</v>
          </cell>
          <cell r="BW24">
            <v>1</v>
          </cell>
          <cell r="BX24">
            <v>1</v>
          </cell>
          <cell r="BY24">
            <v>1</v>
          </cell>
          <cell r="BZ24">
            <v>2</v>
          </cell>
          <cell r="CA24">
            <v>1</v>
          </cell>
          <cell r="CB24">
            <v>1</v>
          </cell>
          <cell r="CC24">
            <v>0</v>
          </cell>
          <cell r="CD24">
            <v>1</v>
          </cell>
          <cell r="CE24">
            <v>0</v>
          </cell>
          <cell r="CF24">
            <v>4</v>
          </cell>
          <cell r="CG24">
            <v>1</v>
          </cell>
          <cell r="CH24">
            <v>1</v>
          </cell>
          <cell r="CI24">
            <v>0</v>
          </cell>
          <cell r="CJ24">
            <v>3</v>
          </cell>
          <cell r="CK24">
            <v>1</v>
          </cell>
          <cell r="CL24">
            <v>2</v>
          </cell>
          <cell r="CM24">
            <v>1</v>
          </cell>
          <cell r="CN24">
            <v>2</v>
          </cell>
          <cell r="CO24">
            <v>0</v>
          </cell>
          <cell r="CP24">
            <v>2</v>
          </cell>
          <cell r="CQ24">
            <v>2</v>
          </cell>
          <cell r="CR24">
            <v>2</v>
          </cell>
          <cell r="CS24">
            <v>1</v>
          </cell>
          <cell r="CT24">
            <v>1</v>
          </cell>
          <cell r="CU24">
            <v>1</v>
          </cell>
          <cell r="CV24">
            <v>2</v>
          </cell>
          <cell r="CW24">
            <v>2</v>
          </cell>
          <cell r="CX24">
            <v>1</v>
          </cell>
          <cell r="CY24">
            <v>2</v>
          </cell>
          <cell r="CZ24">
            <v>0</v>
          </cell>
          <cell r="DA24">
            <v>3</v>
          </cell>
          <cell r="DB24">
            <v>1</v>
          </cell>
          <cell r="DC24">
            <v>2</v>
          </cell>
          <cell r="DD24">
            <v>0</v>
          </cell>
          <cell r="DE24">
            <v>0</v>
          </cell>
          <cell r="DF24">
            <v>1</v>
          </cell>
          <cell r="DG24">
            <v>3</v>
          </cell>
          <cell r="DH24">
            <v>0</v>
          </cell>
          <cell r="DI24">
            <v>1</v>
          </cell>
          <cell r="DJ24">
            <v>0</v>
          </cell>
          <cell r="DK24">
            <v>2</v>
          </cell>
          <cell r="DL24">
            <v>1</v>
          </cell>
          <cell r="DM24">
            <v>3</v>
          </cell>
          <cell r="DN24">
            <v>1</v>
          </cell>
          <cell r="DO24">
            <v>1</v>
          </cell>
          <cell r="DP24">
            <v>1</v>
          </cell>
          <cell r="DQ24">
            <v>0</v>
          </cell>
          <cell r="DR24">
            <v>2</v>
          </cell>
          <cell r="DS24">
            <v>0</v>
          </cell>
          <cell r="DT24">
            <v>3</v>
          </cell>
          <cell r="DU24">
            <v>1</v>
          </cell>
          <cell r="DV24">
            <v>2</v>
          </cell>
          <cell r="DW24">
            <v>1</v>
          </cell>
          <cell r="DX24">
            <v>3</v>
          </cell>
          <cell r="DY24">
            <v>2</v>
          </cell>
          <cell r="DZ24">
            <v>0</v>
          </cell>
        </row>
        <row r="25">
          <cell r="A25">
            <v>21</v>
          </cell>
          <cell r="B25" t="str">
            <v>Daniel Escobar</v>
          </cell>
          <cell r="C25">
            <v>1</v>
          </cell>
          <cell r="D25">
            <v>0</v>
          </cell>
          <cell r="E25">
            <v>2</v>
          </cell>
          <cell r="F25">
            <v>2</v>
          </cell>
          <cell r="G25">
            <v>2</v>
          </cell>
          <cell r="H25">
            <v>1</v>
          </cell>
          <cell r="I25">
            <v>3</v>
          </cell>
          <cell r="J25">
            <v>2</v>
          </cell>
          <cell r="K25">
            <v>2</v>
          </cell>
          <cell r="L25">
            <v>0</v>
          </cell>
          <cell r="M25">
            <v>2</v>
          </cell>
          <cell r="N25">
            <v>0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0</v>
          </cell>
          <cell r="T25">
            <v>1</v>
          </cell>
          <cell r="U25">
            <v>2</v>
          </cell>
          <cell r="V25">
            <v>2</v>
          </cell>
          <cell r="W25">
            <v>3</v>
          </cell>
          <cell r="X25">
            <v>1</v>
          </cell>
          <cell r="Y25">
            <v>1</v>
          </cell>
          <cell r="Z25">
            <v>2</v>
          </cell>
          <cell r="AA25">
            <v>3</v>
          </cell>
          <cell r="AB25">
            <v>1</v>
          </cell>
          <cell r="AC25">
            <v>0</v>
          </cell>
          <cell r="AD25">
            <v>2</v>
          </cell>
          <cell r="AE25">
            <v>2</v>
          </cell>
          <cell r="AF25">
            <v>1</v>
          </cell>
          <cell r="AG25">
            <v>2</v>
          </cell>
          <cell r="AH25">
            <v>0</v>
          </cell>
          <cell r="AI25">
            <v>1</v>
          </cell>
          <cell r="AJ25">
            <v>2</v>
          </cell>
          <cell r="AK25">
            <v>2</v>
          </cell>
          <cell r="AL25">
            <v>0</v>
          </cell>
          <cell r="AM25">
            <v>3</v>
          </cell>
          <cell r="AN25">
            <v>1</v>
          </cell>
          <cell r="AO25">
            <v>1</v>
          </cell>
          <cell r="AP25">
            <v>3</v>
          </cell>
          <cell r="AQ25">
            <v>3</v>
          </cell>
          <cell r="AR25">
            <v>0</v>
          </cell>
          <cell r="AS25">
            <v>2</v>
          </cell>
          <cell r="AT25">
            <v>1</v>
          </cell>
          <cell r="AU25">
            <v>1</v>
          </cell>
          <cell r="AV25">
            <v>1</v>
          </cell>
          <cell r="AW25">
            <v>2</v>
          </cell>
          <cell r="AX25">
            <v>0</v>
          </cell>
          <cell r="AY25">
            <v>2</v>
          </cell>
          <cell r="AZ25">
            <v>1</v>
          </cell>
          <cell r="BA25">
            <v>0</v>
          </cell>
          <cell r="BB25">
            <v>2</v>
          </cell>
          <cell r="BC25">
            <v>2</v>
          </cell>
          <cell r="BD25">
            <v>1</v>
          </cell>
          <cell r="BE25">
            <v>2</v>
          </cell>
          <cell r="BF25">
            <v>0</v>
          </cell>
          <cell r="BG25">
            <v>1</v>
          </cell>
          <cell r="BH25">
            <v>3</v>
          </cell>
          <cell r="BI25">
            <v>3</v>
          </cell>
          <cell r="BJ25">
            <v>1</v>
          </cell>
          <cell r="BK25">
            <v>1</v>
          </cell>
          <cell r="BL25">
            <v>2</v>
          </cell>
          <cell r="BM25">
            <v>1</v>
          </cell>
          <cell r="BN25">
            <v>3</v>
          </cell>
          <cell r="BO25">
            <v>1</v>
          </cell>
          <cell r="BP25">
            <v>0</v>
          </cell>
          <cell r="BQ25">
            <v>0</v>
          </cell>
          <cell r="BR25">
            <v>2</v>
          </cell>
          <cell r="BS25">
            <v>2</v>
          </cell>
          <cell r="BT25">
            <v>2</v>
          </cell>
          <cell r="BU25">
            <v>0</v>
          </cell>
          <cell r="BV25">
            <v>3</v>
          </cell>
          <cell r="BW25">
            <v>1</v>
          </cell>
          <cell r="BX25">
            <v>4</v>
          </cell>
          <cell r="BY25">
            <v>0</v>
          </cell>
          <cell r="BZ25">
            <v>1</v>
          </cell>
          <cell r="CA25">
            <v>2</v>
          </cell>
          <cell r="CB25">
            <v>2</v>
          </cell>
          <cell r="CC25">
            <v>1</v>
          </cell>
          <cell r="CD25">
            <v>2</v>
          </cell>
          <cell r="CE25">
            <v>0</v>
          </cell>
          <cell r="CF25">
            <v>3</v>
          </cell>
          <cell r="CG25">
            <v>1</v>
          </cell>
          <cell r="CH25">
            <v>2</v>
          </cell>
          <cell r="CI25">
            <v>0</v>
          </cell>
          <cell r="CJ25">
            <v>4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0</v>
          </cell>
          <cell r="CP25">
            <v>0</v>
          </cell>
          <cell r="CQ25">
            <v>3</v>
          </cell>
          <cell r="CR25">
            <v>3</v>
          </cell>
          <cell r="CS25">
            <v>1</v>
          </cell>
          <cell r="CT25">
            <v>1</v>
          </cell>
          <cell r="CU25">
            <v>2</v>
          </cell>
          <cell r="CV25">
            <v>1</v>
          </cell>
          <cell r="CW25">
            <v>2</v>
          </cell>
          <cell r="CX25">
            <v>3</v>
          </cell>
          <cell r="CY25">
            <v>2</v>
          </cell>
          <cell r="CZ25">
            <v>0</v>
          </cell>
          <cell r="DA25">
            <v>1</v>
          </cell>
          <cell r="DB25">
            <v>0</v>
          </cell>
          <cell r="DC25">
            <v>3</v>
          </cell>
          <cell r="DD25">
            <v>0</v>
          </cell>
          <cell r="DE25">
            <v>2</v>
          </cell>
          <cell r="DF25">
            <v>1</v>
          </cell>
          <cell r="DG25">
            <v>3</v>
          </cell>
          <cell r="DH25">
            <v>1</v>
          </cell>
          <cell r="DI25">
            <v>2</v>
          </cell>
          <cell r="DJ25">
            <v>1</v>
          </cell>
          <cell r="DK25">
            <v>1</v>
          </cell>
          <cell r="DL25">
            <v>0</v>
          </cell>
          <cell r="DM25">
            <v>2</v>
          </cell>
          <cell r="DN25">
            <v>0</v>
          </cell>
          <cell r="DO25">
            <v>1</v>
          </cell>
          <cell r="DP25">
            <v>0</v>
          </cell>
          <cell r="DQ25">
            <v>1</v>
          </cell>
          <cell r="DR25">
            <v>2</v>
          </cell>
          <cell r="DS25">
            <v>1</v>
          </cell>
          <cell r="DT25">
            <v>2</v>
          </cell>
          <cell r="DU25">
            <v>1</v>
          </cell>
          <cell r="DV25">
            <v>1</v>
          </cell>
          <cell r="DW25">
            <v>0</v>
          </cell>
          <cell r="DX25">
            <v>1</v>
          </cell>
          <cell r="DY25">
            <v>2</v>
          </cell>
          <cell r="DZ25">
            <v>0</v>
          </cell>
        </row>
        <row r="26">
          <cell r="A26">
            <v>22</v>
          </cell>
          <cell r="B26" t="str">
            <v>Juan S Araújo</v>
          </cell>
          <cell r="C26">
            <v>2</v>
          </cell>
          <cell r="D26">
            <v>1</v>
          </cell>
          <cell r="E26">
            <v>1</v>
          </cell>
          <cell r="F26">
            <v>3</v>
          </cell>
          <cell r="G26">
            <v>1</v>
          </cell>
          <cell r="H26">
            <v>1</v>
          </cell>
          <cell r="I26">
            <v>1</v>
          </cell>
          <cell r="J26">
            <v>2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  <cell r="Q26">
            <v>0</v>
          </cell>
          <cell r="R26">
            <v>1</v>
          </cell>
          <cell r="S26">
            <v>1</v>
          </cell>
          <cell r="T26">
            <v>2</v>
          </cell>
          <cell r="U26">
            <v>2</v>
          </cell>
          <cell r="V26">
            <v>2</v>
          </cell>
          <cell r="W26">
            <v>3</v>
          </cell>
          <cell r="X26">
            <v>0</v>
          </cell>
          <cell r="Y26">
            <v>1</v>
          </cell>
          <cell r="Z26">
            <v>0</v>
          </cell>
          <cell r="AA26">
            <v>3</v>
          </cell>
          <cell r="AB26">
            <v>0</v>
          </cell>
          <cell r="AC26">
            <v>0</v>
          </cell>
          <cell r="AD26">
            <v>1</v>
          </cell>
          <cell r="AE26">
            <v>1</v>
          </cell>
          <cell r="AF26">
            <v>0</v>
          </cell>
          <cell r="AG26">
            <v>1</v>
          </cell>
          <cell r="AH26">
            <v>0</v>
          </cell>
          <cell r="AI26">
            <v>1</v>
          </cell>
          <cell r="AJ26">
            <v>0</v>
          </cell>
          <cell r="AK26">
            <v>2</v>
          </cell>
          <cell r="AL26">
            <v>0</v>
          </cell>
          <cell r="AM26">
            <v>1</v>
          </cell>
          <cell r="AN26">
            <v>0</v>
          </cell>
          <cell r="AO26">
            <v>1</v>
          </cell>
          <cell r="AP26">
            <v>4</v>
          </cell>
          <cell r="AQ26">
            <v>2</v>
          </cell>
          <cell r="AR26">
            <v>1</v>
          </cell>
          <cell r="AS26">
            <v>1</v>
          </cell>
          <cell r="AT26">
            <v>0</v>
          </cell>
          <cell r="AU26">
            <v>1</v>
          </cell>
          <cell r="AV26">
            <v>1</v>
          </cell>
          <cell r="AW26">
            <v>2</v>
          </cell>
          <cell r="AX26">
            <v>1</v>
          </cell>
          <cell r="AY26">
            <v>1</v>
          </cell>
          <cell r="AZ26">
            <v>1</v>
          </cell>
          <cell r="BA26">
            <v>2</v>
          </cell>
          <cell r="BB26">
            <v>1</v>
          </cell>
          <cell r="BC26">
            <v>2</v>
          </cell>
          <cell r="BD26">
            <v>0</v>
          </cell>
          <cell r="BE26">
            <v>3</v>
          </cell>
          <cell r="BF26">
            <v>1</v>
          </cell>
          <cell r="BG26">
            <v>0</v>
          </cell>
          <cell r="BH26">
            <v>1</v>
          </cell>
          <cell r="BI26">
            <v>3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2</v>
          </cell>
          <cell r="BO26">
            <v>2</v>
          </cell>
          <cell r="BP26">
            <v>2</v>
          </cell>
          <cell r="BQ26">
            <v>1</v>
          </cell>
          <cell r="BR26">
            <v>1</v>
          </cell>
          <cell r="BS26">
            <v>3</v>
          </cell>
          <cell r="BT26">
            <v>1</v>
          </cell>
          <cell r="BU26">
            <v>1</v>
          </cell>
          <cell r="BV26">
            <v>3</v>
          </cell>
          <cell r="BW26">
            <v>1</v>
          </cell>
          <cell r="BX26">
            <v>3</v>
          </cell>
          <cell r="BY26">
            <v>1</v>
          </cell>
          <cell r="BZ26">
            <v>1</v>
          </cell>
          <cell r="CA26">
            <v>1</v>
          </cell>
          <cell r="CB26">
            <v>2</v>
          </cell>
          <cell r="CC26">
            <v>1</v>
          </cell>
          <cell r="CD26">
            <v>3</v>
          </cell>
          <cell r="CE26">
            <v>1</v>
          </cell>
          <cell r="CF26">
            <v>3</v>
          </cell>
          <cell r="CG26">
            <v>1</v>
          </cell>
          <cell r="CH26">
            <v>0</v>
          </cell>
          <cell r="CI26">
            <v>0</v>
          </cell>
          <cell r="CJ26">
            <v>2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0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0</v>
          </cell>
          <cell r="CU26">
            <v>2</v>
          </cell>
          <cell r="CV26">
            <v>1</v>
          </cell>
          <cell r="CW26">
            <v>2</v>
          </cell>
          <cell r="CX26">
            <v>2</v>
          </cell>
          <cell r="CY26">
            <v>2</v>
          </cell>
          <cell r="CZ26">
            <v>1</v>
          </cell>
          <cell r="DA26">
            <v>2</v>
          </cell>
          <cell r="DB26">
            <v>1</v>
          </cell>
          <cell r="DC26">
            <v>2</v>
          </cell>
          <cell r="DD26">
            <v>1</v>
          </cell>
          <cell r="DE26">
            <v>2</v>
          </cell>
          <cell r="DF26">
            <v>1</v>
          </cell>
          <cell r="DG26">
            <v>3</v>
          </cell>
          <cell r="DH26">
            <v>1</v>
          </cell>
          <cell r="DI26">
            <v>1</v>
          </cell>
          <cell r="DJ26">
            <v>1</v>
          </cell>
          <cell r="DK26">
            <v>2</v>
          </cell>
          <cell r="DL26">
            <v>2</v>
          </cell>
          <cell r="DM26">
            <v>2</v>
          </cell>
          <cell r="DN26">
            <v>1</v>
          </cell>
          <cell r="DO26">
            <v>4</v>
          </cell>
          <cell r="DP26">
            <v>0</v>
          </cell>
          <cell r="DQ26">
            <v>1</v>
          </cell>
          <cell r="DR26">
            <v>3</v>
          </cell>
          <cell r="DS26">
            <v>1</v>
          </cell>
          <cell r="DT26">
            <v>2</v>
          </cell>
          <cell r="DU26">
            <v>2</v>
          </cell>
          <cell r="DV26">
            <v>1</v>
          </cell>
          <cell r="DW26">
            <v>1</v>
          </cell>
          <cell r="DX26">
            <v>2</v>
          </cell>
          <cell r="DY26">
            <v>0</v>
          </cell>
          <cell r="DZ26">
            <v>3</v>
          </cell>
        </row>
        <row r="27">
          <cell r="A27">
            <v>23</v>
          </cell>
          <cell r="B27" t="str">
            <v>Natalia Uribe</v>
          </cell>
          <cell r="C27">
            <v>2</v>
          </cell>
          <cell r="D27">
            <v>0</v>
          </cell>
          <cell r="E27">
            <v>3</v>
          </cell>
          <cell r="F27">
            <v>1</v>
          </cell>
          <cell r="G27">
            <v>0</v>
          </cell>
          <cell r="H27">
            <v>0</v>
          </cell>
          <cell r="I27">
            <v>1</v>
          </cell>
          <cell r="J27">
            <v>2</v>
          </cell>
          <cell r="K27">
            <v>1</v>
          </cell>
          <cell r="L27">
            <v>0</v>
          </cell>
          <cell r="M27">
            <v>2</v>
          </cell>
          <cell r="N27">
            <v>1</v>
          </cell>
          <cell r="O27">
            <v>2</v>
          </cell>
          <cell r="P27">
            <v>1</v>
          </cell>
          <cell r="Q27">
            <v>3</v>
          </cell>
          <cell r="R27">
            <v>1</v>
          </cell>
          <cell r="S27">
            <v>1</v>
          </cell>
          <cell r="T27">
            <v>0</v>
          </cell>
          <cell r="U27">
            <v>2</v>
          </cell>
          <cell r="V27">
            <v>1</v>
          </cell>
          <cell r="W27">
            <v>2</v>
          </cell>
          <cell r="X27">
            <v>1</v>
          </cell>
          <cell r="Y27">
            <v>1</v>
          </cell>
          <cell r="Z27">
            <v>0</v>
          </cell>
          <cell r="AA27">
            <v>1</v>
          </cell>
          <cell r="AB27">
            <v>0</v>
          </cell>
          <cell r="AC27">
            <v>0</v>
          </cell>
          <cell r="AD27">
            <v>2</v>
          </cell>
          <cell r="AE27">
            <v>1</v>
          </cell>
          <cell r="AF27">
            <v>1</v>
          </cell>
          <cell r="AG27">
            <v>1</v>
          </cell>
          <cell r="AH27">
            <v>0</v>
          </cell>
          <cell r="AI27">
            <v>2</v>
          </cell>
          <cell r="AJ27">
            <v>1</v>
          </cell>
          <cell r="AK27">
            <v>2</v>
          </cell>
          <cell r="AL27">
            <v>0</v>
          </cell>
          <cell r="AM27">
            <v>2</v>
          </cell>
          <cell r="AN27">
            <v>1</v>
          </cell>
          <cell r="AO27">
            <v>1</v>
          </cell>
          <cell r="AP27">
            <v>3</v>
          </cell>
          <cell r="AQ27">
            <v>2</v>
          </cell>
          <cell r="AR27">
            <v>0</v>
          </cell>
          <cell r="AS27">
            <v>1</v>
          </cell>
          <cell r="AT27">
            <v>2</v>
          </cell>
          <cell r="AU27">
            <v>2</v>
          </cell>
          <cell r="AV27">
            <v>1</v>
          </cell>
          <cell r="AW27">
            <v>3</v>
          </cell>
          <cell r="AX27">
            <v>1</v>
          </cell>
          <cell r="AY27">
            <v>2</v>
          </cell>
          <cell r="AZ27">
            <v>1</v>
          </cell>
          <cell r="BA27">
            <v>2</v>
          </cell>
          <cell r="BB27">
            <v>2</v>
          </cell>
          <cell r="BC27">
            <v>1</v>
          </cell>
          <cell r="BD27">
            <v>1</v>
          </cell>
          <cell r="BE27">
            <v>2</v>
          </cell>
          <cell r="BF27">
            <v>0</v>
          </cell>
          <cell r="BG27">
            <v>0</v>
          </cell>
          <cell r="BH27">
            <v>1</v>
          </cell>
          <cell r="BI27">
            <v>3</v>
          </cell>
          <cell r="BJ27">
            <v>0</v>
          </cell>
          <cell r="BK27">
            <v>1</v>
          </cell>
          <cell r="BL27">
            <v>2</v>
          </cell>
          <cell r="BM27">
            <v>2</v>
          </cell>
          <cell r="BN27">
            <v>1</v>
          </cell>
          <cell r="BO27">
            <v>1</v>
          </cell>
          <cell r="BP27">
            <v>2</v>
          </cell>
          <cell r="BQ27">
            <v>1</v>
          </cell>
          <cell r="BR27">
            <v>2</v>
          </cell>
          <cell r="BS27">
            <v>3</v>
          </cell>
          <cell r="BT27">
            <v>0</v>
          </cell>
          <cell r="BU27">
            <v>0</v>
          </cell>
          <cell r="BV27">
            <v>2</v>
          </cell>
          <cell r="BW27">
            <v>0</v>
          </cell>
          <cell r="BX27">
            <v>2</v>
          </cell>
          <cell r="BY27">
            <v>2</v>
          </cell>
          <cell r="BZ27">
            <v>1</v>
          </cell>
          <cell r="CA27">
            <v>2</v>
          </cell>
          <cell r="CB27">
            <v>0</v>
          </cell>
          <cell r="CC27">
            <v>1</v>
          </cell>
          <cell r="CD27">
            <v>3</v>
          </cell>
          <cell r="CE27">
            <v>0</v>
          </cell>
          <cell r="CF27">
            <v>2</v>
          </cell>
          <cell r="CG27">
            <v>1</v>
          </cell>
          <cell r="CH27">
            <v>0</v>
          </cell>
          <cell r="CI27">
            <v>0</v>
          </cell>
          <cell r="CJ27">
            <v>2</v>
          </cell>
          <cell r="CK27">
            <v>1</v>
          </cell>
          <cell r="CL27">
            <v>1</v>
          </cell>
          <cell r="CM27">
            <v>1</v>
          </cell>
          <cell r="CN27">
            <v>2</v>
          </cell>
          <cell r="CO27">
            <v>1</v>
          </cell>
          <cell r="CP27">
            <v>1</v>
          </cell>
          <cell r="CQ27">
            <v>3</v>
          </cell>
          <cell r="CR27">
            <v>1</v>
          </cell>
          <cell r="CS27">
            <v>0</v>
          </cell>
          <cell r="CT27">
            <v>1</v>
          </cell>
          <cell r="CU27">
            <v>2</v>
          </cell>
          <cell r="CV27">
            <v>0</v>
          </cell>
          <cell r="CW27">
            <v>1</v>
          </cell>
          <cell r="CX27">
            <v>2</v>
          </cell>
          <cell r="CY27">
            <v>3</v>
          </cell>
          <cell r="CZ27">
            <v>1</v>
          </cell>
          <cell r="DA27">
            <v>2</v>
          </cell>
          <cell r="DB27">
            <v>0</v>
          </cell>
          <cell r="DC27">
            <v>3</v>
          </cell>
          <cell r="DD27">
            <v>1</v>
          </cell>
          <cell r="DE27">
            <v>3</v>
          </cell>
          <cell r="DF27">
            <v>0</v>
          </cell>
          <cell r="DG27">
            <v>3</v>
          </cell>
          <cell r="DH27">
            <v>1</v>
          </cell>
          <cell r="DI27">
            <v>2</v>
          </cell>
          <cell r="DJ27">
            <v>1</v>
          </cell>
          <cell r="DK27">
            <v>1</v>
          </cell>
          <cell r="DL27">
            <v>2</v>
          </cell>
          <cell r="DM27">
            <v>2</v>
          </cell>
          <cell r="DN27">
            <v>2</v>
          </cell>
          <cell r="DO27">
            <v>2</v>
          </cell>
          <cell r="DP27">
            <v>0</v>
          </cell>
          <cell r="DQ27">
            <v>3</v>
          </cell>
          <cell r="DR27">
            <v>1</v>
          </cell>
          <cell r="DS27">
            <v>2</v>
          </cell>
          <cell r="DT27">
            <v>1</v>
          </cell>
          <cell r="DU27">
            <v>2</v>
          </cell>
          <cell r="DV27">
            <v>2</v>
          </cell>
          <cell r="DW27">
            <v>1</v>
          </cell>
          <cell r="DX27">
            <v>2</v>
          </cell>
          <cell r="DY27">
            <v>1</v>
          </cell>
          <cell r="DZ27">
            <v>2</v>
          </cell>
        </row>
        <row r="28">
          <cell r="A28">
            <v>24</v>
          </cell>
          <cell r="B28" t="str">
            <v>Camilo Russi</v>
          </cell>
          <cell r="C28">
            <v>2</v>
          </cell>
          <cell r="D28">
            <v>0</v>
          </cell>
          <cell r="E28">
            <v>0</v>
          </cell>
          <cell r="F28">
            <v>4</v>
          </cell>
          <cell r="G28">
            <v>1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0</v>
          </cell>
          <cell r="M28">
            <v>4</v>
          </cell>
          <cell r="N28">
            <v>0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0</v>
          </cell>
          <cell r="U28">
            <v>1</v>
          </cell>
          <cell r="V28">
            <v>0</v>
          </cell>
          <cell r="W28">
            <v>2</v>
          </cell>
          <cell r="X28">
            <v>0</v>
          </cell>
          <cell r="Y28">
            <v>0</v>
          </cell>
          <cell r="Z28">
            <v>0</v>
          </cell>
          <cell r="AA28">
            <v>1</v>
          </cell>
          <cell r="AB28">
            <v>0</v>
          </cell>
          <cell r="AC28">
            <v>0</v>
          </cell>
          <cell r="AD28">
            <v>1</v>
          </cell>
          <cell r="AE28">
            <v>0</v>
          </cell>
          <cell r="AF28">
            <v>0</v>
          </cell>
          <cell r="AG28">
            <v>2</v>
          </cell>
          <cell r="AH28">
            <v>1</v>
          </cell>
          <cell r="AI28">
            <v>0</v>
          </cell>
          <cell r="AJ28">
            <v>0</v>
          </cell>
          <cell r="AK28">
            <v>2</v>
          </cell>
          <cell r="AL28">
            <v>0</v>
          </cell>
          <cell r="AM28">
            <v>1</v>
          </cell>
          <cell r="AN28">
            <v>0</v>
          </cell>
          <cell r="AO28">
            <v>0</v>
          </cell>
          <cell r="AP28">
            <v>5</v>
          </cell>
          <cell r="AQ28">
            <v>1</v>
          </cell>
          <cell r="AR28">
            <v>0</v>
          </cell>
          <cell r="AS28">
            <v>1</v>
          </cell>
          <cell r="AT28">
            <v>1</v>
          </cell>
          <cell r="AU28">
            <v>2</v>
          </cell>
          <cell r="AV28">
            <v>0</v>
          </cell>
          <cell r="AW28">
            <v>3</v>
          </cell>
          <cell r="AX28">
            <v>1</v>
          </cell>
          <cell r="AY28">
            <v>1</v>
          </cell>
          <cell r="AZ28">
            <v>0</v>
          </cell>
          <cell r="BA28">
            <v>1</v>
          </cell>
          <cell r="BB28">
            <v>1</v>
          </cell>
          <cell r="BC28">
            <v>3</v>
          </cell>
          <cell r="BD28">
            <v>0</v>
          </cell>
          <cell r="BE28">
            <v>2</v>
          </cell>
          <cell r="BF28">
            <v>0</v>
          </cell>
          <cell r="BG28">
            <v>0</v>
          </cell>
          <cell r="BH28">
            <v>1</v>
          </cell>
          <cell r="BI28">
            <v>2</v>
          </cell>
          <cell r="BJ28">
            <v>0</v>
          </cell>
          <cell r="BK28">
            <v>1</v>
          </cell>
          <cell r="BL28">
            <v>1</v>
          </cell>
          <cell r="BM28">
            <v>0</v>
          </cell>
          <cell r="BN28">
            <v>1</v>
          </cell>
          <cell r="BO28">
            <v>0</v>
          </cell>
          <cell r="BP28">
            <v>1</v>
          </cell>
          <cell r="BQ28">
            <v>0</v>
          </cell>
          <cell r="BR28">
            <v>0</v>
          </cell>
          <cell r="BS28">
            <v>3</v>
          </cell>
          <cell r="BT28">
            <v>0</v>
          </cell>
          <cell r="BU28">
            <v>0</v>
          </cell>
          <cell r="BV28">
            <v>4</v>
          </cell>
          <cell r="BW28">
            <v>0</v>
          </cell>
          <cell r="BX28">
            <v>1</v>
          </cell>
          <cell r="BY28">
            <v>0</v>
          </cell>
          <cell r="BZ28">
            <v>1</v>
          </cell>
          <cell r="CA28">
            <v>0</v>
          </cell>
          <cell r="CB28">
            <v>1</v>
          </cell>
          <cell r="CC28">
            <v>0</v>
          </cell>
          <cell r="CD28">
            <v>1</v>
          </cell>
          <cell r="CE28">
            <v>0</v>
          </cell>
          <cell r="CF28">
            <v>2</v>
          </cell>
          <cell r="CG28">
            <v>0</v>
          </cell>
          <cell r="CH28">
            <v>0</v>
          </cell>
          <cell r="CI28">
            <v>0</v>
          </cell>
          <cell r="CJ28">
            <v>5</v>
          </cell>
          <cell r="CK28">
            <v>1</v>
          </cell>
          <cell r="CL28">
            <v>1</v>
          </cell>
          <cell r="CM28">
            <v>0</v>
          </cell>
          <cell r="CN28">
            <v>0</v>
          </cell>
          <cell r="CO28">
            <v>0</v>
          </cell>
          <cell r="CP28">
            <v>2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2</v>
          </cell>
          <cell r="CV28">
            <v>1</v>
          </cell>
          <cell r="CW28">
            <v>0</v>
          </cell>
          <cell r="CX28">
            <v>0</v>
          </cell>
          <cell r="CY28">
            <v>1</v>
          </cell>
          <cell r="CZ28">
            <v>0</v>
          </cell>
          <cell r="DA28">
            <v>3</v>
          </cell>
          <cell r="DB28">
            <v>0</v>
          </cell>
          <cell r="DC28">
            <v>3</v>
          </cell>
          <cell r="DD28">
            <v>0</v>
          </cell>
          <cell r="DE28">
            <v>1</v>
          </cell>
          <cell r="DF28">
            <v>0</v>
          </cell>
          <cell r="DG28">
            <v>2</v>
          </cell>
          <cell r="DH28">
            <v>1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1</v>
          </cell>
          <cell r="DN28">
            <v>0</v>
          </cell>
          <cell r="DO28">
            <v>2</v>
          </cell>
          <cell r="DP28">
            <v>1</v>
          </cell>
          <cell r="DQ28">
            <v>0</v>
          </cell>
          <cell r="DR28">
            <v>0</v>
          </cell>
          <cell r="DS28">
            <v>0</v>
          </cell>
          <cell r="DT28">
            <v>1</v>
          </cell>
          <cell r="DU28">
            <v>2</v>
          </cell>
          <cell r="DV28">
            <v>2</v>
          </cell>
          <cell r="DW28">
            <v>0</v>
          </cell>
          <cell r="DX28">
            <v>2</v>
          </cell>
          <cell r="DY28">
            <v>2</v>
          </cell>
          <cell r="DZ28">
            <v>1</v>
          </cell>
        </row>
        <row r="29">
          <cell r="A29">
            <v>25</v>
          </cell>
          <cell r="B29" t="str">
            <v>Enrique Uribe</v>
          </cell>
          <cell r="C29">
            <v>3</v>
          </cell>
          <cell r="D29">
            <v>1</v>
          </cell>
          <cell r="E29">
            <v>3</v>
          </cell>
          <cell r="F29">
            <v>1</v>
          </cell>
          <cell r="G29">
            <v>0</v>
          </cell>
          <cell r="H29">
            <v>1</v>
          </cell>
          <cell r="I29">
            <v>1</v>
          </cell>
          <cell r="J29">
            <v>3</v>
          </cell>
          <cell r="K29">
            <v>3</v>
          </cell>
          <cell r="L29">
            <v>1</v>
          </cell>
          <cell r="M29">
            <v>4</v>
          </cell>
          <cell r="N29">
            <v>1</v>
          </cell>
          <cell r="O29">
            <v>1</v>
          </cell>
          <cell r="P29">
            <v>0</v>
          </cell>
          <cell r="Q29">
            <v>2</v>
          </cell>
          <cell r="R29">
            <v>0</v>
          </cell>
          <cell r="S29">
            <v>3</v>
          </cell>
          <cell r="T29">
            <v>0</v>
          </cell>
          <cell r="U29">
            <v>3</v>
          </cell>
          <cell r="V29">
            <v>1</v>
          </cell>
          <cell r="W29">
            <v>3</v>
          </cell>
          <cell r="X29">
            <v>1</v>
          </cell>
          <cell r="Y29">
            <v>2</v>
          </cell>
          <cell r="Z29">
            <v>0</v>
          </cell>
          <cell r="AA29">
            <v>2</v>
          </cell>
          <cell r="AB29">
            <v>0</v>
          </cell>
          <cell r="AC29">
            <v>0</v>
          </cell>
          <cell r="AD29">
            <v>3</v>
          </cell>
          <cell r="AE29">
            <v>3</v>
          </cell>
          <cell r="AF29">
            <v>1</v>
          </cell>
          <cell r="AG29">
            <v>2</v>
          </cell>
          <cell r="AH29">
            <v>1</v>
          </cell>
          <cell r="AI29">
            <v>2</v>
          </cell>
          <cell r="AJ29">
            <v>0</v>
          </cell>
          <cell r="AK29">
            <v>4</v>
          </cell>
          <cell r="AL29">
            <v>1</v>
          </cell>
          <cell r="AM29">
            <v>3</v>
          </cell>
          <cell r="AN29">
            <v>2</v>
          </cell>
          <cell r="AO29">
            <v>0</v>
          </cell>
          <cell r="AP29">
            <v>4</v>
          </cell>
          <cell r="AQ29">
            <v>3</v>
          </cell>
          <cell r="AR29">
            <v>0</v>
          </cell>
          <cell r="AS29">
            <v>1</v>
          </cell>
          <cell r="AT29">
            <v>1</v>
          </cell>
          <cell r="AU29">
            <v>3</v>
          </cell>
          <cell r="AV29">
            <v>0</v>
          </cell>
          <cell r="AW29">
            <v>4</v>
          </cell>
          <cell r="AX29">
            <v>0</v>
          </cell>
          <cell r="AY29">
            <v>1</v>
          </cell>
          <cell r="AZ29">
            <v>2</v>
          </cell>
          <cell r="BA29">
            <v>2</v>
          </cell>
          <cell r="BB29">
            <v>2</v>
          </cell>
          <cell r="BC29">
            <v>2</v>
          </cell>
          <cell r="BD29">
            <v>0</v>
          </cell>
          <cell r="BE29">
            <v>4</v>
          </cell>
          <cell r="BF29">
            <v>1</v>
          </cell>
          <cell r="BG29">
            <v>1</v>
          </cell>
          <cell r="BH29">
            <v>2</v>
          </cell>
          <cell r="BI29">
            <v>4</v>
          </cell>
          <cell r="BJ29">
            <v>0</v>
          </cell>
          <cell r="BK29">
            <v>3</v>
          </cell>
          <cell r="BL29">
            <v>1</v>
          </cell>
          <cell r="BM29">
            <v>2</v>
          </cell>
          <cell r="BN29">
            <v>1</v>
          </cell>
          <cell r="BO29">
            <v>1</v>
          </cell>
          <cell r="BP29">
            <v>3</v>
          </cell>
          <cell r="BQ29">
            <v>0</v>
          </cell>
          <cell r="BR29">
            <v>2</v>
          </cell>
          <cell r="BS29">
            <v>4</v>
          </cell>
          <cell r="BT29">
            <v>0</v>
          </cell>
          <cell r="BU29">
            <v>1</v>
          </cell>
          <cell r="BV29">
            <v>3</v>
          </cell>
          <cell r="BW29">
            <v>1</v>
          </cell>
          <cell r="BX29">
            <v>3</v>
          </cell>
          <cell r="BY29">
            <v>1</v>
          </cell>
          <cell r="BZ29">
            <v>1</v>
          </cell>
          <cell r="CA29">
            <v>2</v>
          </cell>
          <cell r="CB29">
            <v>1</v>
          </cell>
          <cell r="CC29">
            <v>1</v>
          </cell>
          <cell r="CD29">
            <v>4</v>
          </cell>
          <cell r="CE29">
            <v>0</v>
          </cell>
          <cell r="CF29">
            <v>4</v>
          </cell>
          <cell r="CG29">
            <v>2</v>
          </cell>
          <cell r="CH29">
            <v>0</v>
          </cell>
          <cell r="CI29">
            <v>0</v>
          </cell>
          <cell r="CJ29">
            <v>3</v>
          </cell>
          <cell r="CK29">
            <v>0</v>
          </cell>
          <cell r="CL29">
            <v>2</v>
          </cell>
          <cell r="CM29">
            <v>0</v>
          </cell>
          <cell r="CN29">
            <v>3</v>
          </cell>
          <cell r="CO29">
            <v>1</v>
          </cell>
          <cell r="CP29">
            <v>2</v>
          </cell>
          <cell r="CQ29">
            <v>2</v>
          </cell>
          <cell r="CR29">
            <v>0</v>
          </cell>
          <cell r="CS29">
            <v>1</v>
          </cell>
          <cell r="CT29">
            <v>1</v>
          </cell>
          <cell r="CU29">
            <v>3</v>
          </cell>
          <cell r="CV29">
            <v>1</v>
          </cell>
          <cell r="CW29">
            <v>3</v>
          </cell>
          <cell r="CX29">
            <v>2</v>
          </cell>
          <cell r="CY29">
            <v>3</v>
          </cell>
          <cell r="CZ29">
            <v>2</v>
          </cell>
          <cell r="DA29">
            <v>3</v>
          </cell>
          <cell r="DB29">
            <v>0</v>
          </cell>
          <cell r="DC29">
            <v>4</v>
          </cell>
          <cell r="DD29">
            <v>0</v>
          </cell>
          <cell r="DE29">
            <v>3</v>
          </cell>
          <cell r="DF29">
            <v>1</v>
          </cell>
          <cell r="DG29">
            <v>4</v>
          </cell>
          <cell r="DH29">
            <v>0</v>
          </cell>
          <cell r="DI29">
            <v>2</v>
          </cell>
          <cell r="DJ29">
            <v>1</v>
          </cell>
          <cell r="DK29">
            <v>3</v>
          </cell>
          <cell r="DL29">
            <v>1</v>
          </cell>
          <cell r="DM29">
            <v>3</v>
          </cell>
          <cell r="DN29">
            <v>1</v>
          </cell>
          <cell r="DO29">
            <v>3</v>
          </cell>
          <cell r="DP29">
            <v>1</v>
          </cell>
          <cell r="DQ29">
            <v>3</v>
          </cell>
          <cell r="DR29">
            <v>2</v>
          </cell>
          <cell r="DS29">
            <v>1</v>
          </cell>
          <cell r="DT29">
            <v>3</v>
          </cell>
          <cell r="DU29">
            <v>3</v>
          </cell>
          <cell r="DV29">
            <v>2</v>
          </cell>
          <cell r="DW29">
            <v>1</v>
          </cell>
          <cell r="DX29">
            <v>3</v>
          </cell>
          <cell r="DY29">
            <v>2</v>
          </cell>
          <cell r="DZ29">
            <v>3</v>
          </cell>
        </row>
        <row r="30">
          <cell r="A30">
            <v>26</v>
          </cell>
          <cell r="B30" t="str">
            <v>Andres Aguirre</v>
          </cell>
          <cell r="C30">
            <v>1</v>
          </cell>
          <cell r="D30">
            <v>1</v>
          </cell>
          <cell r="E30">
            <v>0</v>
          </cell>
          <cell r="F30">
            <v>2</v>
          </cell>
          <cell r="G30">
            <v>1</v>
          </cell>
          <cell r="H30">
            <v>1</v>
          </cell>
          <cell r="I30">
            <v>1</v>
          </cell>
          <cell r="J30">
            <v>3</v>
          </cell>
          <cell r="K30">
            <v>2</v>
          </cell>
          <cell r="L30">
            <v>0</v>
          </cell>
          <cell r="M30">
            <v>2</v>
          </cell>
          <cell r="N30">
            <v>1</v>
          </cell>
          <cell r="O30">
            <v>1</v>
          </cell>
          <cell r="P30">
            <v>2</v>
          </cell>
          <cell r="Q30">
            <v>2</v>
          </cell>
          <cell r="R30">
            <v>2</v>
          </cell>
          <cell r="S30">
            <v>0</v>
          </cell>
          <cell r="T30">
            <v>2</v>
          </cell>
          <cell r="U30">
            <v>3</v>
          </cell>
          <cell r="V30">
            <v>1</v>
          </cell>
          <cell r="W30">
            <v>2</v>
          </cell>
          <cell r="X30">
            <v>0</v>
          </cell>
          <cell r="Y30">
            <v>2</v>
          </cell>
          <cell r="Z30">
            <v>1</v>
          </cell>
          <cell r="AA30">
            <v>2</v>
          </cell>
          <cell r="AB30">
            <v>0</v>
          </cell>
          <cell r="AC30">
            <v>0</v>
          </cell>
          <cell r="AD30">
            <v>3</v>
          </cell>
          <cell r="AE30">
            <v>1</v>
          </cell>
          <cell r="AF30">
            <v>2</v>
          </cell>
          <cell r="AG30">
            <v>2</v>
          </cell>
          <cell r="AH30">
            <v>1</v>
          </cell>
          <cell r="AI30">
            <v>2</v>
          </cell>
          <cell r="AJ30">
            <v>1</v>
          </cell>
          <cell r="AK30">
            <v>2</v>
          </cell>
          <cell r="AL30">
            <v>1</v>
          </cell>
          <cell r="AM30">
            <v>2</v>
          </cell>
          <cell r="AN30">
            <v>0</v>
          </cell>
          <cell r="AO30">
            <v>0</v>
          </cell>
          <cell r="AP30">
            <v>3</v>
          </cell>
          <cell r="AQ30">
            <v>2</v>
          </cell>
          <cell r="AR30">
            <v>1</v>
          </cell>
          <cell r="AS30">
            <v>0</v>
          </cell>
          <cell r="AT30">
            <v>0</v>
          </cell>
          <cell r="AU30">
            <v>2</v>
          </cell>
          <cell r="AV30">
            <v>2</v>
          </cell>
          <cell r="AW30">
            <v>3</v>
          </cell>
          <cell r="AX30">
            <v>0</v>
          </cell>
          <cell r="AY30">
            <v>1</v>
          </cell>
          <cell r="AZ30">
            <v>0</v>
          </cell>
          <cell r="BA30">
            <v>1</v>
          </cell>
          <cell r="BB30">
            <v>1</v>
          </cell>
          <cell r="BC30">
            <v>1</v>
          </cell>
          <cell r="BD30">
            <v>0</v>
          </cell>
          <cell r="BE30">
            <v>3</v>
          </cell>
          <cell r="BF30">
            <v>0</v>
          </cell>
          <cell r="BG30">
            <v>1</v>
          </cell>
          <cell r="BH30">
            <v>2</v>
          </cell>
          <cell r="BI30">
            <v>3</v>
          </cell>
          <cell r="BJ30">
            <v>0</v>
          </cell>
          <cell r="BK30">
            <v>0</v>
          </cell>
          <cell r="BL30">
            <v>1</v>
          </cell>
          <cell r="BM30">
            <v>1</v>
          </cell>
          <cell r="BN30">
            <v>1</v>
          </cell>
          <cell r="BO30">
            <v>2</v>
          </cell>
          <cell r="BP30">
            <v>1</v>
          </cell>
          <cell r="BQ30">
            <v>1</v>
          </cell>
          <cell r="BR30">
            <v>1</v>
          </cell>
          <cell r="BS30">
            <v>3</v>
          </cell>
          <cell r="BT30">
            <v>0</v>
          </cell>
          <cell r="BU30">
            <v>1</v>
          </cell>
          <cell r="BV30">
            <v>2</v>
          </cell>
          <cell r="BW30">
            <v>0</v>
          </cell>
          <cell r="BX30">
            <v>2</v>
          </cell>
          <cell r="BY30">
            <v>1</v>
          </cell>
          <cell r="BZ30">
            <v>1</v>
          </cell>
          <cell r="CA30">
            <v>0</v>
          </cell>
          <cell r="CB30">
            <v>2</v>
          </cell>
          <cell r="CC30">
            <v>1</v>
          </cell>
          <cell r="CD30">
            <v>2</v>
          </cell>
          <cell r="CE30">
            <v>1</v>
          </cell>
          <cell r="CF30">
            <v>3</v>
          </cell>
          <cell r="CG30">
            <v>2</v>
          </cell>
          <cell r="CH30">
            <v>1</v>
          </cell>
          <cell r="CI30">
            <v>0</v>
          </cell>
          <cell r="CJ30">
            <v>3</v>
          </cell>
          <cell r="CK30">
            <v>1</v>
          </cell>
          <cell r="CL30">
            <v>1</v>
          </cell>
          <cell r="CM30">
            <v>0</v>
          </cell>
          <cell r="CN30">
            <v>2</v>
          </cell>
          <cell r="CO30">
            <v>0</v>
          </cell>
          <cell r="CP30">
            <v>1</v>
          </cell>
          <cell r="CQ30">
            <v>3</v>
          </cell>
          <cell r="CR30">
            <v>2</v>
          </cell>
          <cell r="CS30">
            <v>1</v>
          </cell>
          <cell r="CT30">
            <v>1</v>
          </cell>
          <cell r="CU30">
            <v>2</v>
          </cell>
          <cell r="CV30">
            <v>1</v>
          </cell>
          <cell r="CW30">
            <v>2</v>
          </cell>
          <cell r="CX30">
            <v>1</v>
          </cell>
          <cell r="CY30">
            <v>3</v>
          </cell>
          <cell r="CZ30">
            <v>1</v>
          </cell>
          <cell r="DA30">
            <v>3</v>
          </cell>
          <cell r="DB30">
            <v>1</v>
          </cell>
          <cell r="DC30">
            <v>2</v>
          </cell>
          <cell r="DD30">
            <v>0</v>
          </cell>
          <cell r="DE30">
            <v>2</v>
          </cell>
          <cell r="DF30">
            <v>0</v>
          </cell>
          <cell r="DG30">
            <v>3</v>
          </cell>
          <cell r="DH30">
            <v>1</v>
          </cell>
          <cell r="DI30">
            <v>1</v>
          </cell>
          <cell r="DJ30">
            <v>0</v>
          </cell>
          <cell r="DK30">
            <v>1</v>
          </cell>
          <cell r="DL30">
            <v>2</v>
          </cell>
          <cell r="DM30">
            <v>2</v>
          </cell>
          <cell r="DN30">
            <v>1</v>
          </cell>
          <cell r="DO30">
            <v>2</v>
          </cell>
          <cell r="DP30">
            <v>0</v>
          </cell>
          <cell r="DQ30">
            <v>2</v>
          </cell>
          <cell r="DR30">
            <v>2</v>
          </cell>
          <cell r="DS30">
            <v>1</v>
          </cell>
          <cell r="DT30">
            <v>2</v>
          </cell>
          <cell r="DU30">
            <v>2</v>
          </cell>
          <cell r="DV30">
            <v>2</v>
          </cell>
          <cell r="DW30">
            <v>0</v>
          </cell>
          <cell r="DX30">
            <v>2</v>
          </cell>
          <cell r="DY30">
            <v>1</v>
          </cell>
          <cell r="DZ30">
            <v>2</v>
          </cell>
        </row>
        <row r="31">
          <cell r="A31">
            <v>27</v>
          </cell>
          <cell r="B31" t="str">
            <v>Juan C Lemaitre</v>
          </cell>
          <cell r="C31">
            <v>2</v>
          </cell>
          <cell r="D31">
            <v>0</v>
          </cell>
          <cell r="E31">
            <v>2</v>
          </cell>
          <cell r="F31">
            <v>2</v>
          </cell>
          <cell r="G31">
            <v>0</v>
          </cell>
          <cell r="H31">
            <v>1</v>
          </cell>
          <cell r="I31">
            <v>2</v>
          </cell>
          <cell r="J31">
            <v>1</v>
          </cell>
          <cell r="K31">
            <v>2</v>
          </cell>
          <cell r="L31">
            <v>0</v>
          </cell>
          <cell r="M31">
            <v>2</v>
          </cell>
          <cell r="N31">
            <v>0</v>
          </cell>
          <cell r="O31">
            <v>1</v>
          </cell>
          <cell r="P31">
            <v>2</v>
          </cell>
          <cell r="Q31">
            <v>0</v>
          </cell>
          <cell r="R31">
            <v>0</v>
          </cell>
          <cell r="S31">
            <v>1</v>
          </cell>
          <cell r="T31">
            <v>0</v>
          </cell>
          <cell r="U31">
            <v>2</v>
          </cell>
          <cell r="V31">
            <v>0</v>
          </cell>
          <cell r="W31">
            <v>2</v>
          </cell>
          <cell r="X31">
            <v>0</v>
          </cell>
          <cell r="Y31">
            <v>1</v>
          </cell>
          <cell r="Z31">
            <v>0</v>
          </cell>
          <cell r="AA31">
            <v>3</v>
          </cell>
          <cell r="AB31">
            <v>0</v>
          </cell>
          <cell r="AC31">
            <v>0</v>
          </cell>
          <cell r="AD31">
            <v>2</v>
          </cell>
          <cell r="AE31">
            <v>0</v>
          </cell>
          <cell r="AF31">
            <v>0</v>
          </cell>
          <cell r="AG31">
            <v>2</v>
          </cell>
          <cell r="AH31">
            <v>1</v>
          </cell>
          <cell r="AI31">
            <v>2</v>
          </cell>
          <cell r="AJ31">
            <v>1</v>
          </cell>
          <cell r="AK31">
            <v>3</v>
          </cell>
          <cell r="AL31">
            <v>0</v>
          </cell>
          <cell r="AM31">
            <v>2</v>
          </cell>
          <cell r="AN31">
            <v>0</v>
          </cell>
          <cell r="AO31">
            <v>0</v>
          </cell>
          <cell r="AP31">
            <v>2</v>
          </cell>
          <cell r="AQ31">
            <v>1</v>
          </cell>
          <cell r="AR31">
            <v>0</v>
          </cell>
          <cell r="AS31">
            <v>2</v>
          </cell>
          <cell r="AT31">
            <v>1</v>
          </cell>
          <cell r="AU31">
            <v>1</v>
          </cell>
          <cell r="AV31">
            <v>0</v>
          </cell>
          <cell r="AW31">
            <v>2</v>
          </cell>
          <cell r="AX31">
            <v>0</v>
          </cell>
          <cell r="AY31">
            <v>2</v>
          </cell>
          <cell r="AZ31">
            <v>0</v>
          </cell>
          <cell r="BA31">
            <v>0</v>
          </cell>
          <cell r="BB31">
            <v>0</v>
          </cell>
          <cell r="BC31">
            <v>1</v>
          </cell>
          <cell r="BD31">
            <v>0</v>
          </cell>
          <cell r="BE31">
            <v>2</v>
          </cell>
          <cell r="BF31">
            <v>0</v>
          </cell>
          <cell r="BG31">
            <v>1</v>
          </cell>
          <cell r="BH31">
            <v>2</v>
          </cell>
          <cell r="BI31">
            <v>3</v>
          </cell>
          <cell r="BJ31">
            <v>0</v>
          </cell>
          <cell r="BK31">
            <v>0</v>
          </cell>
          <cell r="BL31">
            <v>1</v>
          </cell>
          <cell r="BM31">
            <v>0</v>
          </cell>
          <cell r="BN31">
            <v>1</v>
          </cell>
          <cell r="BO31">
            <v>2</v>
          </cell>
          <cell r="BP31">
            <v>1</v>
          </cell>
          <cell r="BQ31">
            <v>0</v>
          </cell>
          <cell r="BR31">
            <v>2</v>
          </cell>
          <cell r="BS31">
            <v>2</v>
          </cell>
          <cell r="BT31">
            <v>1</v>
          </cell>
          <cell r="BU31">
            <v>0</v>
          </cell>
          <cell r="BV31">
            <v>2</v>
          </cell>
          <cell r="BW31">
            <v>1</v>
          </cell>
          <cell r="BX31">
            <v>1</v>
          </cell>
          <cell r="BY31">
            <v>0</v>
          </cell>
          <cell r="BZ31">
            <v>1</v>
          </cell>
          <cell r="CA31">
            <v>0</v>
          </cell>
          <cell r="CB31">
            <v>2</v>
          </cell>
          <cell r="CC31">
            <v>1</v>
          </cell>
          <cell r="CD31">
            <v>1</v>
          </cell>
          <cell r="CE31">
            <v>0</v>
          </cell>
          <cell r="CF31">
            <v>2</v>
          </cell>
          <cell r="CG31">
            <v>1</v>
          </cell>
          <cell r="CH31">
            <v>1</v>
          </cell>
          <cell r="CI31">
            <v>0</v>
          </cell>
          <cell r="CJ31">
            <v>2</v>
          </cell>
          <cell r="CK31">
            <v>0</v>
          </cell>
          <cell r="CL31">
            <v>0</v>
          </cell>
          <cell r="CM31">
            <v>0</v>
          </cell>
          <cell r="CN31">
            <v>2</v>
          </cell>
          <cell r="CO31">
            <v>0</v>
          </cell>
          <cell r="CP31">
            <v>1</v>
          </cell>
          <cell r="CQ31">
            <v>1</v>
          </cell>
          <cell r="CR31">
            <v>0</v>
          </cell>
          <cell r="CS31">
            <v>0</v>
          </cell>
          <cell r="CT31">
            <v>0</v>
          </cell>
          <cell r="CU31">
            <v>2</v>
          </cell>
          <cell r="CV31">
            <v>1</v>
          </cell>
          <cell r="CW31">
            <v>0</v>
          </cell>
          <cell r="CX31">
            <v>1</v>
          </cell>
          <cell r="CY31">
            <v>2</v>
          </cell>
          <cell r="CZ31">
            <v>0</v>
          </cell>
          <cell r="DA31">
            <v>1</v>
          </cell>
          <cell r="DB31">
            <v>1</v>
          </cell>
          <cell r="DC31">
            <v>1</v>
          </cell>
          <cell r="DD31">
            <v>0</v>
          </cell>
          <cell r="DE31">
            <v>2</v>
          </cell>
          <cell r="DF31">
            <v>0</v>
          </cell>
          <cell r="DG31">
            <v>3</v>
          </cell>
          <cell r="DH31">
            <v>1</v>
          </cell>
          <cell r="DI31">
            <v>1</v>
          </cell>
          <cell r="DJ31">
            <v>1</v>
          </cell>
          <cell r="DK31">
            <v>1</v>
          </cell>
          <cell r="DL31">
            <v>1</v>
          </cell>
          <cell r="DM31">
            <v>2</v>
          </cell>
          <cell r="DN31">
            <v>1</v>
          </cell>
          <cell r="DO31">
            <v>2</v>
          </cell>
          <cell r="DP31">
            <v>0</v>
          </cell>
          <cell r="DQ31">
            <v>1</v>
          </cell>
          <cell r="DR31">
            <v>1</v>
          </cell>
          <cell r="DS31">
            <v>1</v>
          </cell>
          <cell r="DT31">
            <v>2</v>
          </cell>
          <cell r="DU31">
            <v>2</v>
          </cell>
          <cell r="DV31">
            <v>0</v>
          </cell>
          <cell r="DW31">
            <v>1</v>
          </cell>
          <cell r="DX31">
            <v>1</v>
          </cell>
          <cell r="DY31">
            <v>2</v>
          </cell>
          <cell r="DZ31">
            <v>1</v>
          </cell>
        </row>
        <row r="32">
          <cell r="A32">
            <v>28</v>
          </cell>
          <cell r="B32" t="str">
            <v>Fernando Fonseca</v>
          </cell>
          <cell r="C32">
            <v>2</v>
          </cell>
          <cell r="D32">
            <v>0</v>
          </cell>
          <cell r="E32">
            <v>1</v>
          </cell>
          <cell r="F32">
            <v>2</v>
          </cell>
          <cell r="G32">
            <v>0</v>
          </cell>
          <cell r="H32">
            <v>2</v>
          </cell>
          <cell r="I32">
            <v>1</v>
          </cell>
          <cell r="J32">
            <v>3</v>
          </cell>
          <cell r="K32">
            <v>2</v>
          </cell>
          <cell r="L32">
            <v>0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0</v>
          </cell>
          <cell r="R32">
            <v>0</v>
          </cell>
          <cell r="S32">
            <v>2</v>
          </cell>
          <cell r="T32">
            <v>1</v>
          </cell>
          <cell r="U32">
            <v>2</v>
          </cell>
          <cell r="V32">
            <v>0</v>
          </cell>
          <cell r="W32">
            <v>2</v>
          </cell>
          <cell r="X32">
            <v>1</v>
          </cell>
          <cell r="Y32">
            <v>3</v>
          </cell>
          <cell r="Z32">
            <v>0</v>
          </cell>
          <cell r="AA32">
            <v>3</v>
          </cell>
          <cell r="AB32">
            <v>0</v>
          </cell>
          <cell r="AC32">
            <v>0</v>
          </cell>
          <cell r="AD32">
            <v>2</v>
          </cell>
          <cell r="AE32">
            <v>1</v>
          </cell>
          <cell r="AF32">
            <v>1</v>
          </cell>
          <cell r="AG32">
            <v>2</v>
          </cell>
          <cell r="AH32">
            <v>0</v>
          </cell>
          <cell r="AI32">
            <v>1</v>
          </cell>
          <cell r="AJ32">
            <v>1</v>
          </cell>
          <cell r="AK32">
            <v>3</v>
          </cell>
          <cell r="AL32">
            <v>0</v>
          </cell>
          <cell r="AM32">
            <v>2</v>
          </cell>
          <cell r="AN32">
            <v>0</v>
          </cell>
          <cell r="AO32">
            <v>0</v>
          </cell>
          <cell r="AP32">
            <v>4</v>
          </cell>
          <cell r="AQ32">
            <v>2</v>
          </cell>
          <cell r="AR32">
            <v>1</v>
          </cell>
          <cell r="AS32">
            <v>2</v>
          </cell>
          <cell r="AT32">
            <v>0</v>
          </cell>
          <cell r="AU32">
            <v>2</v>
          </cell>
          <cell r="AV32">
            <v>0</v>
          </cell>
          <cell r="AW32">
            <v>4</v>
          </cell>
          <cell r="AX32">
            <v>1</v>
          </cell>
          <cell r="AY32">
            <v>1</v>
          </cell>
          <cell r="AZ32">
            <v>2</v>
          </cell>
          <cell r="BA32">
            <v>0</v>
          </cell>
          <cell r="BB32">
            <v>2</v>
          </cell>
          <cell r="BC32">
            <v>3</v>
          </cell>
          <cell r="BD32">
            <v>0</v>
          </cell>
          <cell r="BE32">
            <v>2</v>
          </cell>
          <cell r="BF32">
            <v>1</v>
          </cell>
          <cell r="BG32">
            <v>0</v>
          </cell>
          <cell r="BH32">
            <v>2</v>
          </cell>
          <cell r="BI32">
            <v>3</v>
          </cell>
          <cell r="BJ32">
            <v>1</v>
          </cell>
          <cell r="BK32">
            <v>0</v>
          </cell>
          <cell r="BL32">
            <v>1</v>
          </cell>
          <cell r="BM32">
            <v>1</v>
          </cell>
          <cell r="BN32">
            <v>3</v>
          </cell>
          <cell r="BO32">
            <v>1</v>
          </cell>
          <cell r="BP32">
            <v>1</v>
          </cell>
          <cell r="BQ32">
            <v>0</v>
          </cell>
          <cell r="BR32">
            <v>3</v>
          </cell>
          <cell r="BS32">
            <v>3</v>
          </cell>
          <cell r="BT32">
            <v>1</v>
          </cell>
          <cell r="BU32">
            <v>0</v>
          </cell>
          <cell r="BV32">
            <v>2</v>
          </cell>
          <cell r="BW32">
            <v>1</v>
          </cell>
          <cell r="BX32">
            <v>3</v>
          </cell>
          <cell r="BY32">
            <v>1</v>
          </cell>
          <cell r="BZ32">
            <v>3</v>
          </cell>
          <cell r="CA32">
            <v>1</v>
          </cell>
          <cell r="CB32">
            <v>2</v>
          </cell>
          <cell r="CC32">
            <v>0</v>
          </cell>
          <cell r="CD32">
            <v>3</v>
          </cell>
          <cell r="CE32">
            <v>0</v>
          </cell>
          <cell r="CF32">
            <v>4</v>
          </cell>
          <cell r="CG32">
            <v>2</v>
          </cell>
          <cell r="CH32">
            <v>2</v>
          </cell>
          <cell r="CI32">
            <v>0</v>
          </cell>
          <cell r="CJ32">
            <v>3</v>
          </cell>
          <cell r="CK32">
            <v>1</v>
          </cell>
          <cell r="CL32">
            <v>1</v>
          </cell>
          <cell r="CM32">
            <v>2</v>
          </cell>
          <cell r="CN32">
            <v>2</v>
          </cell>
          <cell r="CO32">
            <v>1</v>
          </cell>
          <cell r="CP32">
            <v>2</v>
          </cell>
          <cell r="CQ32">
            <v>1</v>
          </cell>
          <cell r="CR32">
            <v>1</v>
          </cell>
          <cell r="CS32">
            <v>0</v>
          </cell>
          <cell r="CT32">
            <v>0</v>
          </cell>
          <cell r="CU32">
            <v>2</v>
          </cell>
          <cell r="CV32">
            <v>0</v>
          </cell>
          <cell r="CW32">
            <v>1</v>
          </cell>
          <cell r="CX32">
            <v>1</v>
          </cell>
          <cell r="CY32">
            <v>3</v>
          </cell>
          <cell r="CZ32">
            <v>1</v>
          </cell>
          <cell r="DA32">
            <v>2</v>
          </cell>
          <cell r="DB32">
            <v>2</v>
          </cell>
          <cell r="DC32">
            <v>3</v>
          </cell>
          <cell r="DD32">
            <v>1</v>
          </cell>
          <cell r="DE32">
            <v>2</v>
          </cell>
          <cell r="DF32">
            <v>1</v>
          </cell>
          <cell r="DG32">
            <v>4</v>
          </cell>
          <cell r="DH32">
            <v>1</v>
          </cell>
          <cell r="DI32">
            <v>2</v>
          </cell>
          <cell r="DJ32">
            <v>2</v>
          </cell>
          <cell r="DK32">
            <v>3</v>
          </cell>
          <cell r="DL32">
            <v>1</v>
          </cell>
          <cell r="DM32">
            <v>3</v>
          </cell>
          <cell r="DN32">
            <v>1</v>
          </cell>
          <cell r="DO32">
            <v>2</v>
          </cell>
          <cell r="DP32">
            <v>1</v>
          </cell>
          <cell r="DQ32">
            <v>2</v>
          </cell>
          <cell r="DR32">
            <v>2</v>
          </cell>
          <cell r="DS32">
            <v>2</v>
          </cell>
          <cell r="DT32">
            <v>3</v>
          </cell>
          <cell r="DU32">
            <v>3</v>
          </cell>
          <cell r="DV32">
            <v>2</v>
          </cell>
          <cell r="DW32">
            <v>2</v>
          </cell>
          <cell r="DX32">
            <v>1</v>
          </cell>
          <cell r="DY32">
            <v>1</v>
          </cell>
          <cell r="DZ32">
            <v>1</v>
          </cell>
        </row>
        <row r="33">
          <cell r="A33">
            <v>29</v>
          </cell>
          <cell r="B33" t="str">
            <v>Rodofo Rojas</v>
          </cell>
          <cell r="C33">
            <v>1</v>
          </cell>
          <cell r="D33">
            <v>0</v>
          </cell>
          <cell r="E33">
            <v>0</v>
          </cell>
          <cell r="F33">
            <v>2</v>
          </cell>
          <cell r="G33">
            <v>2</v>
          </cell>
          <cell r="H33">
            <v>0</v>
          </cell>
          <cell r="I33">
            <v>1</v>
          </cell>
          <cell r="J33">
            <v>2</v>
          </cell>
          <cell r="K33">
            <v>3</v>
          </cell>
          <cell r="L33">
            <v>1</v>
          </cell>
          <cell r="M33">
            <v>2</v>
          </cell>
          <cell r="N33">
            <v>0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0</v>
          </cell>
          <cell r="T33">
            <v>0</v>
          </cell>
          <cell r="U33">
            <v>2</v>
          </cell>
          <cell r="V33">
            <v>1</v>
          </cell>
          <cell r="W33">
            <v>3</v>
          </cell>
          <cell r="X33">
            <v>0</v>
          </cell>
          <cell r="Y33">
            <v>1</v>
          </cell>
          <cell r="Z33">
            <v>1</v>
          </cell>
          <cell r="AA33">
            <v>4</v>
          </cell>
          <cell r="AB33">
            <v>0</v>
          </cell>
          <cell r="AC33">
            <v>0</v>
          </cell>
          <cell r="AD33">
            <v>1</v>
          </cell>
          <cell r="AE33">
            <v>1</v>
          </cell>
          <cell r="AF33">
            <v>0</v>
          </cell>
          <cell r="AG33">
            <v>2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0</v>
          </cell>
          <cell r="AM33">
            <v>3</v>
          </cell>
          <cell r="AN33">
            <v>0</v>
          </cell>
          <cell r="AO33">
            <v>0</v>
          </cell>
          <cell r="AP33">
            <v>4</v>
          </cell>
          <cell r="AQ33">
            <v>2</v>
          </cell>
          <cell r="AR33">
            <v>1</v>
          </cell>
          <cell r="AS33">
            <v>2</v>
          </cell>
          <cell r="AT33">
            <v>0</v>
          </cell>
          <cell r="AU33">
            <v>1</v>
          </cell>
          <cell r="AV33">
            <v>1</v>
          </cell>
          <cell r="AW33">
            <v>2</v>
          </cell>
          <cell r="AX33">
            <v>0</v>
          </cell>
          <cell r="AY33">
            <v>0</v>
          </cell>
          <cell r="AZ33">
            <v>1</v>
          </cell>
          <cell r="BA33">
            <v>0</v>
          </cell>
          <cell r="BB33">
            <v>1</v>
          </cell>
          <cell r="BC33">
            <v>2</v>
          </cell>
          <cell r="BD33">
            <v>0</v>
          </cell>
          <cell r="BE33">
            <v>2</v>
          </cell>
          <cell r="BF33">
            <v>1</v>
          </cell>
          <cell r="BG33">
            <v>0</v>
          </cell>
          <cell r="BH33">
            <v>1</v>
          </cell>
          <cell r="BI33">
            <v>3</v>
          </cell>
          <cell r="BJ33">
            <v>0</v>
          </cell>
          <cell r="BK33">
            <v>1</v>
          </cell>
          <cell r="BL33">
            <v>2</v>
          </cell>
          <cell r="BM33">
            <v>1</v>
          </cell>
          <cell r="BN33">
            <v>1</v>
          </cell>
          <cell r="BO33">
            <v>2</v>
          </cell>
          <cell r="BP33">
            <v>1</v>
          </cell>
          <cell r="BQ33">
            <v>0</v>
          </cell>
          <cell r="BR33">
            <v>1</v>
          </cell>
          <cell r="BS33">
            <v>2</v>
          </cell>
          <cell r="BT33">
            <v>1</v>
          </cell>
          <cell r="BU33">
            <v>1</v>
          </cell>
          <cell r="BV33">
            <v>1</v>
          </cell>
          <cell r="BW33">
            <v>1</v>
          </cell>
          <cell r="BX33">
            <v>1</v>
          </cell>
          <cell r="BY33">
            <v>1</v>
          </cell>
          <cell r="BZ33">
            <v>2</v>
          </cell>
          <cell r="CA33">
            <v>1</v>
          </cell>
          <cell r="CB33">
            <v>0</v>
          </cell>
          <cell r="CC33">
            <v>1</v>
          </cell>
          <cell r="CD33">
            <v>3</v>
          </cell>
          <cell r="CE33">
            <v>2</v>
          </cell>
          <cell r="CF33">
            <v>2</v>
          </cell>
          <cell r="CG33">
            <v>2</v>
          </cell>
          <cell r="CH33">
            <v>0</v>
          </cell>
          <cell r="CI33">
            <v>0</v>
          </cell>
          <cell r="CJ33">
            <v>3</v>
          </cell>
          <cell r="CK33">
            <v>1</v>
          </cell>
          <cell r="CL33">
            <v>0</v>
          </cell>
          <cell r="CM33">
            <v>1</v>
          </cell>
          <cell r="CN33">
            <v>2</v>
          </cell>
          <cell r="CO33">
            <v>1</v>
          </cell>
          <cell r="CP33">
            <v>3</v>
          </cell>
          <cell r="CQ33">
            <v>1</v>
          </cell>
          <cell r="CR33">
            <v>2</v>
          </cell>
          <cell r="CS33">
            <v>0</v>
          </cell>
          <cell r="CT33">
            <v>0</v>
          </cell>
          <cell r="CU33">
            <v>2</v>
          </cell>
          <cell r="CV33">
            <v>0</v>
          </cell>
          <cell r="CW33">
            <v>1</v>
          </cell>
          <cell r="CX33">
            <v>0</v>
          </cell>
          <cell r="CY33">
            <v>3</v>
          </cell>
          <cell r="CZ33">
            <v>0</v>
          </cell>
          <cell r="DA33">
            <v>2</v>
          </cell>
          <cell r="DB33">
            <v>1</v>
          </cell>
          <cell r="DC33">
            <v>2</v>
          </cell>
          <cell r="DD33">
            <v>0</v>
          </cell>
          <cell r="DE33">
            <v>1</v>
          </cell>
          <cell r="DF33">
            <v>0</v>
          </cell>
          <cell r="DG33">
            <v>3</v>
          </cell>
          <cell r="DH33">
            <v>0</v>
          </cell>
          <cell r="DI33">
            <v>1</v>
          </cell>
          <cell r="DJ33">
            <v>1</v>
          </cell>
          <cell r="DK33">
            <v>1</v>
          </cell>
          <cell r="DL33">
            <v>1</v>
          </cell>
          <cell r="DM33">
            <v>2</v>
          </cell>
          <cell r="DN33">
            <v>1</v>
          </cell>
          <cell r="DO33">
            <v>2</v>
          </cell>
          <cell r="DP33">
            <v>1</v>
          </cell>
          <cell r="DQ33">
            <v>3</v>
          </cell>
          <cell r="DR33">
            <v>1</v>
          </cell>
          <cell r="DS33">
            <v>0</v>
          </cell>
          <cell r="DT33">
            <v>1</v>
          </cell>
          <cell r="DU33">
            <v>1</v>
          </cell>
          <cell r="DV33">
            <v>1</v>
          </cell>
          <cell r="DW33">
            <v>3</v>
          </cell>
          <cell r="DX33">
            <v>1</v>
          </cell>
          <cell r="DY33">
            <v>1</v>
          </cell>
          <cell r="DZ33">
            <v>1</v>
          </cell>
        </row>
        <row r="34">
          <cell r="A34">
            <v>30</v>
          </cell>
          <cell r="B34" t="str">
            <v>Cesar A Gómez</v>
          </cell>
          <cell r="C34">
            <v>3</v>
          </cell>
          <cell r="D34">
            <v>1</v>
          </cell>
          <cell r="E34">
            <v>1</v>
          </cell>
          <cell r="F34">
            <v>2</v>
          </cell>
          <cell r="G34">
            <v>1</v>
          </cell>
          <cell r="H34">
            <v>3</v>
          </cell>
          <cell r="I34">
            <v>2</v>
          </cell>
          <cell r="J34">
            <v>2</v>
          </cell>
          <cell r="K34">
            <v>3</v>
          </cell>
          <cell r="L34">
            <v>1</v>
          </cell>
          <cell r="M34">
            <v>4</v>
          </cell>
          <cell r="N34">
            <v>0</v>
          </cell>
          <cell r="O34">
            <v>3</v>
          </cell>
          <cell r="P34">
            <v>0</v>
          </cell>
          <cell r="Q34">
            <v>1</v>
          </cell>
          <cell r="R34">
            <v>1</v>
          </cell>
          <cell r="S34">
            <v>2</v>
          </cell>
          <cell r="T34">
            <v>2</v>
          </cell>
          <cell r="U34">
            <v>3</v>
          </cell>
          <cell r="V34">
            <v>1</v>
          </cell>
          <cell r="W34">
            <v>4</v>
          </cell>
          <cell r="X34">
            <v>0</v>
          </cell>
          <cell r="Y34">
            <v>2</v>
          </cell>
          <cell r="Z34">
            <v>2</v>
          </cell>
          <cell r="AA34">
            <v>3</v>
          </cell>
          <cell r="AB34">
            <v>1</v>
          </cell>
          <cell r="AC34">
            <v>1</v>
          </cell>
          <cell r="AD34">
            <v>3</v>
          </cell>
          <cell r="AE34">
            <v>1</v>
          </cell>
          <cell r="AF34">
            <v>1</v>
          </cell>
          <cell r="AG34">
            <v>3</v>
          </cell>
          <cell r="AH34">
            <v>1</v>
          </cell>
          <cell r="AI34">
            <v>3</v>
          </cell>
          <cell r="AJ34">
            <v>1</v>
          </cell>
          <cell r="AK34">
            <v>4</v>
          </cell>
          <cell r="AL34">
            <v>2</v>
          </cell>
          <cell r="AM34">
            <v>3</v>
          </cell>
          <cell r="AN34">
            <v>2</v>
          </cell>
          <cell r="AO34">
            <v>1</v>
          </cell>
          <cell r="AP34">
            <v>3</v>
          </cell>
          <cell r="AQ34">
            <v>1</v>
          </cell>
          <cell r="AR34">
            <v>1</v>
          </cell>
          <cell r="AS34">
            <v>2</v>
          </cell>
          <cell r="AT34">
            <v>2</v>
          </cell>
          <cell r="AU34">
            <v>3</v>
          </cell>
          <cell r="AV34">
            <v>1</v>
          </cell>
          <cell r="AW34">
            <v>3</v>
          </cell>
          <cell r="AX34">
            <v>1</v>
          </cell>
          <cell r="AY34">
            <v>3</v>
          </cell>
          <cell r="AZ34">
            <v>1</v>
          </cell>
          <cell r="BA34">
            <v>2</v>
          </cell>
          <cell r="BB34">
            <v>1</v>
          </cell>
          <cell r="BC34">
            <v>2</v>
          </cell>
          <cell r="BD34">
            <v>1</v>
          </cell>
          <cell r="BE34">
            <v>3</v>
          </cell>
          <cell r="BF34">
            <v>1</v>
          </cell>
          <cell r="BG34">
            <v>1</v>
          </cell>
          <cell r="BH34">
            <v>2</v>
          </cell>
          <cell r="BI34">
            <v>3</v>
          </cell>
          <cell r="BJ34">
            <v>0</v>
          </cell>
          <cell r="BK34">
            <v>2</v>
          </cell>
          <cell r="BL34">
            <v>1</v>
          </cell>
          <cell r="BM34">
            <v>1</v>
          </cell>
          <cell r="BN34">
            <v>1</v>
          </cell>
          <cell r="BO34">
            <v>2</v>
          </cell>
          <cell r="BP34">
            <v>2</v>
          </cell>
          <cell r="BQ34">
            <v>3</v>
          </cell>
          <cell r="BR34">
            <v>2</v>
          </cell>
          <cell r="BS34">
            <v>3</v>
          </cell>
          <cell r="BT34">
            <v>1</v>
          </cell>
          <cell r="BU34">
            <v>1</v>
          </cell>
          <cell r="BV34">
            <v>4</v>
          </cell>
          <cell r="BW34">
            <v>1</v>
          </cell>
          <cell r="BX34">
            <v>3</v>
          </cell>
          <cell r="BY34">
            <v>1</v>
          </cell>
          <cell r="BZ34">
            <v>4</v>
          </cell>
          <cell r="CA34">
            <v>0</v>
          </cell>
          <cell r="CB34">
            <v>2</v>
          </cell>
          <cell r="CC34">
            <v>1</v>
          </cell>
          <cell r="CD34">
            <v>2</v>
          </cell>
          <cell r="CE34">
            <v>1</v>
          </cell>
          <cell r="CF34">
            <v>3</v>
          </cell>
          <cell r="CG34">
            <v>2</v>
          </cell>
          <cell r="CH34">
            <v>2</v>
          </cell>
          <cell r="CI34">
            <v>1</v>
          </cell>
          <cell r="CJ34">
            <v>4</v>
          </cell>
          <cell r="CK34">
            <v>1</v>
          </cell>
          <cell r="CL34">
            <v>2</v>
          </cell>
          <cell r="CM34">
            <v>1</v>
          </cell>
          <cell r="CN34">
            <v>3</v>
          </cell>
          <cell r="CO34">
            <v>1</v>
          </cell>
          <cell r="CP34">
            <v>2</v>
          </cell>
          <cell r="CQ34">
            <v>2</v>
          </cell>
          <cell r="CR34">
            <v>2</v>
          </cell>
          <cell r="CS34">
            <v>1</v>
          </cell>
          <cell r="CT34">
            <v>2</v>
          </cell>
          <cell r="CU34">
            <v>2</v>
          </cell>
          <cell r="CV34">
            <v>2</v>
          </cell>
          <cell r="CW34">
            <v>1</v>
          </cell>
          <cell r="CX34">
            <v>2</v>
          </cell>
          <cell r="CY34">
            <v>2</v>
          </cell>
          <cell r="CZ34">
            <v>2</v>
          </cell>
          <cell r="DA34">
            <v>3</v>
          </cell>
          <cell r="DB34">
            <v>1</v>
          </cell>
          <cell r="DC34">
            <v>3</v>
          </cell>
          <cell r="DD34">
            <v>1</v>
          </cell>
          <cell r="DE34">
            <v>2</v>
          </cell>
          <cell r="DF34">
            <v>1</v>
          </cell>
          <cell r="DG34">
            <v>3</v>
          </cell>
          <cell r="DH34">
            <v>1</v>
          </cell>
          <cell r="DI34">
            <v>2</v>
          </cell>
          <cell r="DJ34">
            <v>1</v>
          </cell>
          <cell r="DK34">
            <v>2</v>
          </cell>
          <cell r="DL34">
            <v>2</v>
          </cell>
          <cell r="DM34">
            <v>3</v>
          </cell>
          <cell r="DN34">
            <v>1</v>
          </cell>
          <cell r="DO34">
            <v>3</v>
          </cell>
          <cell r="DP34">
            <v>1</v>
          </cell>
          <cell r="DQ34">
            <v>2</v>
          </cell>
          <cell r="DR34">
            <v>2</v>
          </cell>
          <cell r="DS34">
            <v>1</v>
          </cell>
          <cell r="DT34">
            <v>3</v>
          </cell>
          <cell r="DU34">
            <v>2</v>
          </cell>
          <cell r="DV34">
            <v>1</v>
          </cell>
          <cell r="DW34">
            <v>1</v>
          </cell>
          <cell r="DX34">
            <v>2</v>
          </cell>
          <cell r="DY34">
            <v>2</v>
          </cell>
          <cell r="DZ34">
            <v>1</v>
          </cell>
        </row>
        <row r="35">
          <cell r="A35">
            <v>31</v>
          </cell>
          <cell r="B35" t="str">
            <v>Paula - Gonzalo</v>
          </cell>
          <cell r="C35">
            <v>2</v>
          </cell>
          <cell r="D35">
            <v>0</v>
          </cell>
          <cell r="E35">
            <v>1</v>
          </cell>
          <cell r="F35">
            <v>3</v>
          </cell>
          <cell r="G35">
            <v>1</v>
          </cell>
          <cell r="H35">
            <v>0</v>
          </cell>
          <cell r="I35">
            <v>2</v>
          </cell>
          <cell r="J35">
            <v>3</v>
          </cell>
          <cell r="K35">
            <v>3</v>
          </cell>
          <cell r="L35">
            <v>1</v>
          </cell>
          <cell r="M35">
            <v>2</v>
          </cell>
          <cell r="N35">
            <v>1</v>
          </cell>
          <cell r="O35">
            <v>1</v>
          </cell>
          <cell r="P35">
            <v>0</v>
          </cell>
          <cell r="Q35">
            <v>3</v>
          </cell>
          <cell r="R35">
            <v>1</v>
          </cell>
          <cell r="S35">
            <v>2</v>
          </cell>
          <cell r="T35">
            <v>0</v>
          </cell>
          <cell r="U35">
            <v>4</v>
          </cell>
          <cell r="V35">
            <v>1</v>
          </cell>
          <cell r="W35">
            <v>3</v>
          </cell>
          <cell r="X35">
            <v>1</v>
          </cell>
          <cell r="Y35">
            <v>2</v>
          </cell>
          <cell r="Z35">
            <v>1</v>
          </cell>
          <cell r="AA35">
            <v>3</v>
          </cell>
          <cell r="AB35">
            <v>0</v>
          </cell>
          <cell r="AC35">
            <v>0</v>
          </cell>
          <cell r="AD35">
            <v>2</v>
          </cell>
          <cell r="AE35">
            <v>2</v>
          </cell>
          <cell r="AF35">
            <v>0</v>
          </cell>
          <cell r="AG35">
            <v>2</v>
          </cell>
          <cell r="AH35">
            <v>0</v>
          </cell>
          <cell r="AI35">
            <v>1</v>
          </cell>
          <cell r="AJ35">
            <v>1</v>
          </cell>
          <cell r="AK35">
            <v>3</v>
          </cell>
          <cell r="AL35">
            <v>0</v>
          </cell>
          <cell r="AM35">
            <v>4</v>
          </cell>
          <cell r="AN35">
            <v>0</v>
          </cell>
          <cell r="AO35">
            <v>0</v>
          </cell>
          <cell r="AP35">
            <v>5</v>
          </cell>
          <cell r="AQ35">
            <v>2</v>
          </cell>
          <cell r="AR35">
            <v>1</v>
          </cell>
          <cell r="AS35">
            <v>2</v>
          </cell>
          <cell r="AT35">
            <v>0</v>
          </cell>
          <cell r="AU35">
            <v>0</v>
          </cell>
          <cell r="AV35">
            <v>1</v>
          </cell>
          <cell r="AW35">
            <v>4</v>
          </cell>
          <cell r="AX35">
            <v>0</v>
          </cell>
          <cell r="AY35">
            <v>1</v>
          </cell>
          <cell r="AZ35">
            <v>2</v>
          </cell>
          <cell r="BA35">
            <v>1</v>
          </cell>
          <cell r="BB35">
            <v>2</v>
          </cell>
          <cell r="BC35">
            <v>5</v>
          </cell>
          <cell r="BD35">
            <v>1</v>
          </cell>
          <cell r="BE35">
            <v>3</v>
          </cell>
          <cell r="BF35">
            <v>0</v>
          </cell>
          <cell r="BG35">
            <v>0</v>
          </cell>
          <cell r="BH35">
            <v>2</v>
          </cell>
          <cell r="BI35">
            <v>1</v>
          </cell>
          <cell r="BJ35">
            <v>0</v>
          </cell>
          <cell r="BK35">
            <v>1</v>
          </cell>
          <cell r="BL35">
            <v>1</v>
          </cell>
          <cell r="BM35">
            <v>1</v>
          </cell>
          <cell r="BN35">
            <v>2</v>
          </cell>
          <cell r="BO35">
            <v>2</v>
          </cell>
          <cell r="BP35">
            <v>0</v>
          </cell>
          <cell r="BQ35">
            <v>0</v>
          </cell>
          <cell r="BR35">
            <v>3</v>
          </cell>
          <cell r="BS35">
            <v>3</v>
          </cell>
          <cell r="BT35">
            <v>0</v>
          </cell>
          <cell r="BU35">
            <v>0</v>
          </cell>
          <cell r="BV35">
            <v>4</v>
          </cell>
          <cell r="BW35">
            <v>0</v>
          </cell>
          <cell r="BX35">
            <v>2</v>
          </cell>
          <cell r="BY35">
            <v>0</v>
          </cell>
          <cell r="BZ35">
            <v>1</v>
          </cell>
          <cell r="CA35">
            <v>2</v>
          </cell>
          <cell r="CB35">
            <v>3</v>
          </cell>
          <cell r="CC35">
            <v>1</v>
          </cell>
          <cell r="CD35">
            <v>2</v>
          </cell>
          <cell r="CE35">
            <v>1</v>
          </cell>
          <cell r="CF35">
            <v>4</v>
          </cell>
          <cell r="CG35">
            <v>1</v>
          </cell>
          <cell r="CH35">
            <v>0</v>
          </cell>
          <cell r="CI35">
            <v>1</v>
          </cell>
          <cell r="CJ35">
            <v>5</v>
          </cell>
          <cell r="CK35">
            <v>2</v>
          </cell>
          <cell r="CL35">
            <v>1</v>
          </cell>
          <cell r="CM35">
            <v>0</v>
          </cell>
          <cell r="CN35">
            <v>1</v>
          </cell>
          <cell r="CO35">
            <v>1</v>
          </cell>
          <cell r="CP35">
            <v>3</v>
          </cell>
          <cell r="CQ35">
            <v>1</v>
          </cell>
          <cell r="CR35">
            <v>2</v>
          </cell>
          <cell r="CS35">
            <v>2</v>
          </cell>
          <cell r="CT35">
            <v>0</v>
          </cell>
          <cell r="CU35">
            <v>2</v>
          </cell>
          <cell r="CV35">
            <v>1</v>
          </cell>
          <cell r="CW35">
            <v>0</v>
          </cell>
          <cell r="CX35">
            <v>1</v>
          </cell>
          <cell r="CY35">
            <v>3</v>
          </cell>
          <cell r="CZ35">
            <v>0</v>
          </cell>
          <cell r="DA35">
            <v>2</v>
          </cell>
          <cell r="DB35">
            <v>1</v>
          </cell>
          <cell r="DC35">
            <v>4</v>
          </cell>
          <cell r="DD35">
            <v>1</v>
          </cell>
          <cell r="DE35">
            <v>2</v>
          </cell>
          <cell r="DF35">
            <v>0</v>
          </cell>
          <cell r="DG35">
            <v>3</v>
          </cell>
          <cell r="DH35">
            <v>1</v>
          </cell>
          <cell r="DI35">
            <v>2</v>
          </cell>
          <cell r="DJ35">
            <v>1</v>
          </cell>
          <cell r="DK35">
            <v>2</v>
          </cell>
          <cell r="DL35">
            <v>1</v>
          </cell>
          <cell r="DM35">
            <v>1</v>
          </cell>
          <cell r="DN35">
            <v>0</v>
          </cell>
          <cell r="DO35">
            <v>2</v>
          </cell>
          <cell r="DP35">
            <v>1</v>
          </cell>
          <cell r="DQ35">
            <v>2</v>
          </cell>
          <cell r="DR35">
            <v>1</v>
          </cell>
          <cell r="DS35">
            <v>1</v>
          </cell>
          <cell r="DT35">
            <v>3</v>
          </cell>
          <cell r="DU35">
            <v>1</v>
          </cell>
          <cell r="DV35">
            <v>2</v>
          </cell>
          <cell r="DW35">
            <v>3</v>
          </cell>
          <cell r="DX35">
            <v>1</v>
          </cell>
          <cell r="DY35">
            <v>1</v>
          </cell>
          <cell r="DZ35">
            <v>2</v>
          </cell>
        </row>
        <row r="36">
          <cell r="A36">
            <v>32</v>
          </cell>
          <cell r="B36" t="str">
            <v xml:space="preserve">Roberto Fonnegra </v>
          </cell>
          <cell r="C36">
            <v>1</v>
          </cell>
          <cell r="D36">
            <v>0</v>
          </cell>
          <cell r="E36">
            <v>1</v>
          </cell>
          <cell r="F36">
            <v>2</v>
          </cell>
          <cell r="G36">
            <v>1</v>
          </cell>
          <cell r="H36">
            <v>0</v>
          </cell>
          <cell r="I36">
            <v>1</v>
          </cell>
          <cell r="J36">
            <v>3</v>
          </cell>
          <cell r="K36">
            <v>3</v>
          </cell>
          <cell r="L36">
            <v>0</v>
          </cell>
          <cell r="M36">
            <v>1</v>
          </cell>
          <cell r="N36">
            <v>0</v>
          </cell>
          <cell r="O36">
            <v>1</v>
          </cell>
          <cell r="P36">
            <v>0</v>
          </cell>
          <cell r="Q36">
            <v>1</v>
          </cell>
          <cell r="R36">
            <v>0</v>
          </cell>
          <cell r="S36">
            <v>0</v>
          </cell>
          <cell r="T36">
            <v>0</v>
          </cell>
          <cell r="U36">
            <v>2</v>
          </cell>
          <cell r="V36">
            <v>0</v>
          </cell>
          <cell r="W36">
            <v>4</v>
          </cell>
          <cell r="X36">
            <v>0</v>
          </cell>
          <cell r="Y36">
            <v>1</v>
          </cell>
          <cell r="Z36">
            <v>0</v>
          </cell>
          <cell r="AA36">
            <v>2</v>
          </cell>
          <cell r="AB36">
            <v>1</v>
          </cell>
          <cell r="AC36">
            <v>0</v>
          </cell>
          <cell r="AD36">
            <v>1</v>
          </cell>
          <cell r="AE36">
            <v>1</v>
          </cell>
          <cell r="AF36">
            <v>0</v>
          </cell>
          <cell r="AG36">
            <v>2</v>
          </cell>
          <cell r="AH36">
            <v>0</v>
          </cell>
          <cell r="AI36">
            <v>0</v>
          </cell>
          <cell r="AJ36">
            <v>0</v>
          </cell>
          <cell r="AK36">
            <v>2</v>
          </cell>
          <cell r="AL36">
            <v>0</v>
          </cell>
          <cell r="AM36">
            <v>3</v>
          </cell>
          <cell r="AN36">
            <v>0</v>
          </cell>
          <cell r="AO36">
            <v>0</v>
          </cell>
          <cell r="AP36">
            <v>4</v>
          </cell>
          <cell r="AQ36">
            <v>2</v>
          </cell>
          <cell r="AR36">
            <v>0</v>
          </cell>
          <cell r="AS36">
            <v>1</v>
          </cell>
          <cell r="AT36">
            <v>0</v>
          </cell>
          <cell r="AU36">
            <v>2</v>
          </cell>
          <cell r="AV36">
            <v>1</v>
          </cell>
          <cell r="AW36">
            <v>3</v>
          </cell>
          <cell r="AX36">
            <v>1</v>
          </cell>
          <cell r="AY36">
            <v>0</v>
          </cell>
          <cell r="AZ36">
            <v>0</v>
          </cell>
          <cell r="BA36">
            <v>0</v>
          </cell>
          <cell r="BB36">
            <v>1</v>
          </cell>
          <cell r="BC36">
            <v>3</v>
          </cell>
          <cell r="BD36">
            <v>0</v>
          </cell>
          <cell r="BE36">
            <v>2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0</v>
          </cell>
          <cell r="BL36">
            <v>1</v>
          </cell>
          <cell r="BM36">
            <v>1</v>
          </cell>
          <cell r="BN36">
            <v>2</v>
          </cell>
          <cell r="BO36">
            <v>2</v>
          </cell>
          <cell r="BP36">
            <v>0</v>
          </cell>
          <cell r="BQ36">
            <v>0</v>
          </cell>
          <cell r="BR36">
            <v>1</v>
          </cell>
          <cell r="BS36">
            <v>3</v>
          </cell>
          <cell r="BT36">
            <v>0</v>
          </cell>
          <cell r="BU36">
            <v>0</v>
          </cell>
          <cell r="BV36">
            <v>2</v>
          </cell>
          <cell r="BW36">
            <v>1</v>
          </cell>
          <cell r="BX36">
            <v>3</v>
          </cell>
          <cell r="BY36">
            <v>0</v>
          </cell>
          <cell r="BZ36">
            <v>1</v>
          </cell>
          <cell r="CA36">
            <v>0</v>
          </cell>
          <cell r="CB36">
            <v>1</v>
          </cell>
          <cell r="CC36">
            <v>2</v>
          </cell>
          <cell r="CD36">
            <v>3</v>
          </cell>
          <cell r="CE36">
            <v>0</v>
          </cell>
          <cell r="CF36">
            <v>3</v>
          </cell>
          <cell r="CG36">
            <v>1</v>
          </cell>
          <cell r="CH36">
            <v>1</v>
          </cell>
          <cell r="CI36">
            <v>0</v>
          </cell>
          <cell r="CJ36">
            <v>3</v>
          </cell>
          <cell r="CK36">
            <v>2</v>
          </cell>
          <cell r="CL36">
            <v>2</v>
          </cell>
          <cell r="CM36">
            <v>1</v>
          </cell>
          <cell r="CN36">
            <v>1</v>
          </cell>
          <cell r="CO36">
            <v>0</v>
          </cell>
          <cell r="CP36">
            <v>1</v>
          </cell>
          <cell r="CQ36">
            <v>1</v>
          </cell>
          <cell r="CR36">
            <v>2</v>
          </cell>
          <cell r="CS36">
            <v>0</v>
          </cell>
          <cell r="CT36">
            <v>0</v>
          </cell>
          <cell r="CU36">
            <v>2</v>
          </cell>
          <cell r="CV36">
            <v>1</v>
          </cell>
          <cell r="CW36">
            <v>1</v>
          </cell>
          <cell r="CX36">
            <v>1</v>
          </cell>
          <cell r="CY36">
            <v>3</v>
          </cell>
          <cell r="CZ36">
            <v>0</v>
          </cell>
          <cell r="DA36">
            <v>1</v>
          </cell>
          <cell r="DB36">
            <v>0</v>
          </cell>
          <cell r="DC36">
            <v>4</v>
          </cell>
          <cell r="DD36">
            <v>0</v>
          </cell>
          <cell r="DE36">
            <v>2</v>
          </cell>
          <cell r="DF36">
            <v>1</v>
          </cell>
          <cell r="DG36">
            <v>2</v>
          </cell>
          <cell r="DH36">
            <v>0</v>
          </cell>
          <cell r="DI36">
            <v>2</v>
          </cell>
          <cell r="DJ36">
            <v>1</v>
          </cell>
          <cell r="DK36">
            <v>2</v>
          </cell>
          <cell r="DL36">
            <v>1</v>
          </cell>
          <cell r="DM36">
            <v>1</v>
          </cell>
          <cell r="DN36">
            <v>1</v>
          </cell>
          <cell r="DO36">
            <v>2</v>
          </cell>
          <cell r="DP36">
            <v>1</v>
          </cell>
          <cell r="DQ36">
            <v>2</v>
          </cell>
          <cell r="DR36">
            <v>1</v>
          </cell>
          <cell r="DS36">
            <v>0</v>
          </cell>
          <cell r="DT36">
            <v>1</v>
          </cell>
          <cell r="DU36">
            <v>1</v>
          </cell>
          <cell r="DV36">
            <v>2</v>
          </cell>
          <cell r="DW36">
            <v>1</v>
          </cell>
          <cell r="DX36">
            <v>0</v>
          </cell>
          <cell r="DY36">
            <v>2</v>
          </cell>
          <cell r="DZ36">
            <v>1</v>
          </cell>
        </row>
        <row r="37">
          <cell r="A37">
            <v>33</v>
          </cell>
          <cell r="B37" t="str">
            <v>Santiago Arbouin</v>
          </cell>
          <cell r="C37">
            <v>2</v>
          </cell>
          <cell r="D37">
            <v>1</v>
          </cell>
          <cell r="E37">
            <v>1</v>
          </cell>
          <cell r="F37">
            <v>3</v>
          </cell>
          <cell r="G37">
            <v>2</v>
          </cell>
          <cell r="H37">
            <v>2</v>
          </cell>
          <cell r="I37">
            <v>1</v>
          </cell>
          <cell r="J37">
            <v>2</v>
          </cell>
          <cell r="K37">
            <v>2</v>
          </cell>
          <cell r="L37">
            <v>0</v>
          </cell>
          <cell r="M37">
            <v>3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2</v>
          </cell>
          <cell r="T37">
            <v>0</v>
          </cell>
          <cell r="U37">
            <v>2</v>
          </cell>
          <cell r="V37">
            <v>1</v>
          </cell>
          <cell r="W37">
            <v>3</v>
          </cell>
          <cell r="X37">
            <v>0</v>
          </cell>
          <cell r="Y37">
            <v>2</v>
          </cell>
          <cell r="Z37">
            <v>0</v>
          </cell>
          <cell r="AA37">
            <v>3</v>
          </cell>
          <cell r="AB37">
            <v>0</v>
          </cell>
          <cell r="AC37">
            <v>0</v>
          </cell>
          <cell r="AD37">
            <v>3</v>
          </cell>
          <cell r="AE37">
            <v>2</v>
          </cell>
          <cell r="AF37">
            <v>0</v>
          </cell>
          <cell r="AG37">
            <v>2</v>
          </cell>
          <cell r="AH37">
            <v>0</v>
          </cell>
          <cell r="AI37">
            <v>1</v>
          </cell>
          <cell r="AJ37">
            <v>1</v>
          </cell>
          <cell r="AK37">
            <v>2</v>
          </cell>
          <cell r="AL37">
            <v>0</v>
          </cell>
          <cell r="AM37">
            <v>2</v>
          </cell>
          <cell r="AN37">
            <v>0</v>
          </cell>
          <cell r="AO37">
            <v>0</v>
          </cell>
          <cell r="AP37">
            <v>4</v>
          </cell>
          <cell r="AQ37">
            <v>3</v>
          </cell>
          <cell r="AR37">
            <v>0</v>
          </cell>
          <cell r="AS37">
            <v>2</v>
          </cell>
          <cell r="AT37">
            <v>0</v>
          </cell>
          <cell r="AU37">
            <v>2</v>
          </cell>
          <cell r="AV37">
            <v>0</v>
          </cell>
          <cell r="AW37">
            <v>3</v>
          </cell>
          <cell r="AX37">
            <v>0</v>
          </cell>
          <cell r="AY37">
            <v>2</v>
          </cell>
          <cell r="AZ37">
            <v>0</v>
          </cell>
          <cell r="BA37">
            <v>1</v>
          </cell>
          <cell r="BB37">
            <v>0</v>
          </cell>
          <cell r="BC37">
            <v>2</v>
          </cell>
          <cell r="BD37">
            <v>0</v>
          </cell>
          <cell r="BE37">
            <v>2</v>
          </cell>
          <cell r="BF37">
            <v>1</v>
          </cell>
          <cell r="BG37">
            <v>2</v>
          </cell>
          <cell r="BH37">
            <v>1</v>
          </cell>
          <cell r="BI37">
            <v>2</v>
          </cell>
          <cell r="BJ37">
            <v>0</v>
          </cell>
          <cell r="BK37">
            <v>1</v>
          </cell>
          <cell r="BL37">
            <v>1</v>
          </cell>
          <cell r="BM37">
            <v>1</v>
          </cell>
          <cell r="BN37">
            <v>2</v>
          </cell>
          <cell r="BO37">
            <v>2</v>
          </cell>
          <cell r="BP37">
            <v>1</v>
          </cell>
          <cell r="BQ37">
            <v>0</v>
          </cell>
          <cell r="BR37">
            <v>2</v>
          </cell>
          <cell r="BS37">
            <v>2</v>
          </cell>
          <cell r="BT37">
            <v>0</v>
          </cell>
          <cell r="BU37">
            <v>0</v>
          </cell>
          <cell r="BV37">
            <v>1</v>
          </cell>
          <cell r="BW37">
            <v>0</v>
          </cell>
          <cell r="BX37">
            <v>1</v>
          </cell>
          <cell r="BY37">
            <v>0</v>
          </cell>
          <cell r="BZ37">
            <v>2</v>
          </cell>
          <cell r="CA37">
            <v>0</v>
          </cell>
          <cell r="CB37">
            <v>1</v>
          </cell>
          <cell r="CC37">
            <v>2</v>
          </cell>
          <cell r="CD37">
            <v>2</v>
          </cell>
          <cell r="CE37">
            <v>0</v>
          </cell>
          <cell r="CF37">
            <v>3</v>
          </cell>
          <cell r="CG37">
            <v>0</v>
          </cell>
          <cell r="CH37">
            <v>2</v>
          </cell>
          <cell r="CI37">
            <v>1</v>
          </cell>
          <cell r="CJ37">
            <v>2</v>
          </cell>
          <cell r="CK37">
            <v>1</v>
          </cell>
          <cell r="CL37">
            <v>2</v>
          </cell>
          <cell r="CM37">
            <v>2</v>
          </cell>
          <cell r="CN37">
            <v>2</v>
          </cell>
          <cell r="CO37">
            <v>1</v>
          </cell>
          <cell r="CP37">
            <v>3</v>
          </cell>
          <cell r="CQ37">
            <v>2</v>
          </cell>
          <cell r="CR37">
            <v>2</v>
          </cell>
          <cell r="CS37">
            <v>1</v>
          </cell>
          <cell r="CT37">
            <v>1</v>
          </cell>
          <cell r="CU37">
            <v>2</v>
          </cell>
          <cell r="CV37">
            <v>0</v>
          </cell>
          <cell r="CW37">
            <v>2</v>
          </cell>
          <cell r="CX37">
            <v>2</v>
          </cell>
          <cell r="CY37">
            <v>4</v>
          </cell>
          <cell r="CZ37">
            <v>0</v>
          </cell>
          <cell r="DA37">
            <v>3</v>
          </cell>
          <cell r="DB37">
            <v>1</v>
          </cell>
          <cell r="DC37">
            <v>2</v>
          </cell>
          <cell r="DD37">
            <v>1</v>
          </cell>
          <cell r="DE37">
            <v>0</v>
          </cell>
          <cell r="DF37">
            <v>2</v>
          </cell>
          <cell r="DG37">
            <v>3</v>
          </cell>
          <cell r="DH37">
            <v>0</v>
          </cell>
          <cell r="DI37">
            <v>3</v>
          </cell>
          <cell r="DJ37">
            <v>1</v>
          </cell>
          <cell r="DK37">
            <v>2</v>
          </cell>
          <cell r="DL37">
            <v>0</v>
          </cell>
          <cell r="DM37">
            <v>2</v>
          </cell>
          <cell r="DN37">
            <v>0</v>
          </cell>
          <cell r="DO37">
            <v>2</v>
          </cell>
          <cell r="DP37">
            <v>2</v>
          </cell>
          <cell r="DQ37">
            <v>2</v>
          </cell>
          <cell r="DR37">
            <v>1</v>
          </cell>
          <cell r="DS37">
            <v>1</v>
          </cell>
          <cell r="DT37">
            <v>3</v>
          </cell>
          <cell r="DU37">
            <v>1</v>
          </cell>
          <cell r="DV37">
            <v>2</v>
          </cell>
          <cell r="DW37">
            <v>1</v>
          </cell>
          <cell r="DX37">
            <v>2</v>
          </cell>
          <cell r="DY37">
            <v>3</v>
          </cell>
          <cell r="DZ37">
            <v>2</v>
          </cell>
        </row>
        <row r="38">
          <cell r="A38">
            <v>34</v>
          </cell>
          <cell r="B38" t="str">
            <v>Sebastián Aguirre</v>
          </cell>
          <cell r="C38">
            <v>0</v>
          </cell>
          <cell r="D38">
            <v>0</v>
          </cell>
          <cell r="E38">
            <v>1</v>
          </cell>
          <cell r="F38">
            <v>2</v>
          </cell>
          <cell r="G38">
            <v>1</v>
          </cell>
          <cell r="H38">
            <v>2</v>
          </cell>
          <cell r="I38">
            <v>2</v>
          </cell>
          <cell r="J38">
            <v>3</v>
          </cell>
          <cell r="K38">
            <v>3</v>
          </cell>
          <cell r="L38">
            <v>1</v>
          </cell>
          <cell r="M38">
            <v>3</v>
          </cell>
          <cell r="N38">
            <v>0</v>
          </cell>
          <cell r="O38">
            <v>1</v>
          </cell>
          <cell r="P38">
            <v>2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3</v>
          </cell>
          <cell r="X38">
            <v>0</v>
          </cell>
          <cell r="Y38">
            <v>2</v>
          </cell>
          <cell r="Z38">
            <v>1</v>
          </cell>
          <cell r="AA38">
            <v>2</v>
          </cell>
          <cell r="AB38">
            <v>0</v>
          </cell>
          <cell r="AC38">
            <v>0</v>
          </cell>
          <cell r="AD38">
            <v>1</v>
          </cell>
          <cell r="AE38">
            <v>2</v>
          </cell>
          <cell r="AF38">
            <v>1</v>
          </cell>
          <cell r="AG38">
            <v>2</v>
          </cell>
          <cell r="AH38">
            <v>0</v>
          </cell>
          <cell r="AI38">
            <v>0</v>
          </cell>
          <cell r="AJ38">
            <v>2</v>
          </cell>
          <cell r="AK38">
            <v>2</v>
          </cell>
          <cell r="AL38">
            <v>0</v>
          </cell>
          <cell r="AM38">
            <v>2</v>
          </cell>
          <cell r="AN38">
            <v>1</v>
          </cell>
          <cell r="AO38">
            <v>1</v>
          </cell>
          <cell r="AP38">
            <v>3</v>
          </cell>
          <cell r="AQ38">
            <v>3</v>
          </cell>
          <cell r="AR38">
            <v>1</v>
          </cell>
          <cell r="AS38">
            <v>2</v>
          </cell>
          <cell r="AT38">
            <v>2</v>
          </cell>
          <cell r="AU38">
            <v>2</v>
          </cell>
          <cell r="AV38">
            <v>1</v>
          </cell>
          <cell r="AW38">
            <v>2</v>
          </cell>
          <cell r="AX38">
            <v>1</v>
          </cell>
          <cell r="AY38">
            <v>1</v>
          </cell>
          <cell r="AZ38">
            <v>1</v>
          </cell>
          <cell r="BA38">
            <v>3</v>
          </cell>
          <cell r="BB38">
            <v>2</v>
          </cell>
          <cell r="BC38">
            <v>3</v>
          </cell>
          <cell r="BD38">
            <v>1</v>
          </cell>
          <cell r="BE38">
            <v>3</v>
          </cell>
          <cell r="BF38">
            <v>1</v>
          </cell>
          <cell r="BG38">
            <v>2</v>
          </cell>
          <cell r="BH38">
            <v>3</v>
          </cell>
          <cell r="BI38">
            <v>2</v>
          </cell>
          <cell r="BJ38">
            <v>0</v>
          </cell>
          <cell r="BK38">
            <v>1</v>
          </cell>
          <cell r="BL38">
            <v>1</v>
          </cell>
          <cell r="BM38">
            <v>1</v>
          </cell>
          <cell r="BN38">
            <v>3</v>
          </cell>
          <cell r="BO38">
            <v>2</v>
          </cell>
          <cell r="BP38">
            <v>0</v>
          </cell>
          <cell r="BQ38">
            <v>0</v>
          </cell>
          <cell r="BR38">
            <v>1</v>
          </cell>
          <cell r="BS38">
            <v>3</v>
          </cell>
          <cell r="BT38">
            <v>0</v>
          </cell>
          <cell r="BU38">
            <v>1</v>
          </cell>
          <cell r="BV38">
            <v>2</v>
          </cell>
          <cell r="BW38">
            <v>1</v>
          </cell>
          <cell r="BX38">
            <v>2</v>
          </cell>
          <cell r="BY38">
            <v>1</v>
          </cell>
          <cell r="BZ38">
            <v>2</v>
          </cell>
          <cell r="CA38">
            <v>2</v>
          </cell>
          <cell r="CB38">
            <v>1</v>
          </cell>
          <cell r="CC38">
            <v>1</v>
          </cell>
          <cell r="CD38">
            <v>3</v>
          </cell>
          <cell r="CE38">
            <v>1</v>
          </cell>
          <cell r="CF38">
            <v>4</v>
          </cell>
          <cell r="CG38">
            <v>1</v>
          </cell>
          <cell r="CH38">
            <v>0</v>
          </cell>
          <cell r="CI38">
            <v>0</v>
          </cell>
          <cell r="CJ38">
            <v>4</v>
          </cell>
          <cell r="CK38">
            <v>1</v>
          </cell>
          <cell r="CL38">
            <v>2</v>
          </cell>
          <cell r="CM38">
            <v>1</v>
          </cell>
          <cell r="CN38">
            <v>2</v>
          </cell>
          <cell r="CO38">
            <v>2</v>
          </cell>
          <cell r="CP38">
            <v>3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3</v>
          </cell>
          <cell r="CV38">
            <v>1</v>
          </cell>
          <cell r="CW38">
            <v>1</v>
          </cell>
          <cell r="CX38">
            <v>2</v>
          </cell>
          <cell r="CY38">
            <v>2</v>
          </cell>
          <cell r="CZ38">
            <v>1</v>
          </cell>
          <cell r="DA38">
            <v>2</v>
          </cell>
          <cell r="DB38">
            <v>0</v>
          </cell>
          <cell r="DC38">
            <v>3</v>
          </cell>
          <cell r="DD38">
            <v>1</v>
          </cell>
          <cell r="DE38">
            <v>2</v>
          </cell>
          <cell r="DF38">
            <v>1</v>
          </cell>
          <cell r="DG38">
            <v>3</v>
          </cell>
          <cell r="DH38">
            <v>0</v>
          </cell>
          <cell r="DI38">
            <v>2</v>
          </cell>
          <cell r="DJ38">
            <v>1</v>
          </cell>
          <cell r="DK38">
            <v>2</v>
          </cell>
          <cell r="DL38">
            <v>1</v>
          </cell>
          <cell r="DM38">
            <v>3</v>
          </cell>
          <cell r="DN38">
            <v>1</v>
          </cell>
          <cell r="DO38">
            <v>1</v>
          </cell>
          <cell r="DP38">
            <v>2</v>
          </cell>
          <cell r="DQ38">
            <v>1</v>
          </cell>
          <cell r="DR38">
            <v>1</v>
          </cell>
          <cell r="DS38">
            <v>1</v>
          </cell>
          <cell r="DT38">
            <v>2</v>
          </cell>
          <cell r="DU38">
            <v>2</v>
          </cell>
          <cell r="DV38">
            <v>2</v>
          </cell>
          <cell r="DW38">
            <v>1</v>
          </cell>
          <cell r="DX38">
            <v>2</v>
          </cell>
          <cell r="DY38">
            <v>3</v>
          </cell>
          <cell r="DZ38">
            <v>1</v>
          </cell>
        </row>
        <row r="39">
          <cell r="A39">
            <v>35</v>
          </cell>
          <cell r="B39" t="str">
            <v>Martín Fonseca</v>
          </cell>
          <cell r="C39">
            <v>2</v>
          </cell>
          <cell r="D39">
            <v>0</v>
          </cell>
          <cell r="E39">
            <v>1</v>
          </cell>
          <cell r="F39">
            <v>3</v>
          </cell>
          <cell r="G39">
            <v>1</v>
          </cell>
          <cell r="H39">
            <v>1</v>
          </cell>
          <cell r="I39">
            <v>1</v>
          </cell>
          <cell r="J39">
            <v>3</v>
          </cell>
          <cell r="K39">
            <v>3</v>
          </cell>
          <cell r="L39">
            <v>0</v>
          </cell>
          <cell r="M39">
            <v>1</v>
          </cell>
          <cell r="N39">
            <v>1</v>
          </cell>
          <cell r="O39">
            <v>2</v>
          </cell>
          <cell r="P39">
            <v>2</v>
          </cell>
          <cell r="Q39">
            <v>2</v>
          </cell>
          <cell r="R39">
            <v>2</v>
          </cell>
          <cell r="S39">
            <v>1</v>
          </cell>
          <cell r="T39">
            <v>1</v>
          </cell>
          <cell r="U39">
            <v>4</v>
          </cell>
          <cell r="V39">
            <v>0</v>
          </cell>
          <cell r="W39">
            <v>3</v>
          </cell>
          <cell r="X39">
            <v>1</v>
          </cell>
          <cell r="Y39">
            <v>3</v>
          </cell>
          <cell r="Z39">
            <v>0</v>
          </cell>
          <cell r="AA39">
            <v>4</v>
          </cell>
          <cell r="AB39">
            <v>0</v>
          </cell>
          <cell r="AC39">
            <v>0</v>
          </cell>
          <cell r="AD39">
            <v>3</v>
          </cell>
          <cell r="AE39">
            <v>2</v>
          </cell>
          <cell r="AF39">
            <v>0</v>
          </cell>
          <cell r="AG39">
            <v>3</v>
          </cell>
          <cell r="AH39">
            <v>0</v>
          </cell>
          <cell r="AI39">
            <v>1</v>
          </cell>
          <cell r="AJ39">
            <v>2</v>
          </cell>
          <cell r="AK39">
            <v>2</v>
          </cell>
          <cell r="AL39">
            <v>0</v>
          </cell>
          <cell r="AM39">
            <v>3</v>
          </cell>
          <cell r="AN39">
            <v>0</v>
          </cell>
          <cell r="AO39">
            <v>0</v>
          </cell>
          <cell r="AP39">
            <v>4</v>
          </cell>
          <cell r="AQ39">
            <v>3</v>
          </cell>
          <cell r="AR39">
            <v>1</v>
          </cell>
          <cell r="AS39">
            <v>1</v>
          </cell>
          <cell r="AT39">
            <v>0</v>
          </cell>
          <cell r="AU39">
            <v>2</v>
          </cell>
          <cell r="AV39">
            <v>1</v>
          </cell>
          <cell r="AW39">
            <v>2</v>
          </cell>
          <cell r="AX39">
            <v>0</v>
          </cell>
          <cell r="AY39">
            <v>0</v>
          </cell>
          <cell r="AZ39">
            <v>1</v>
          </cell>
          <cell r="BA39">
            <v>1</v>
          </cell>
          <cell r="BB39">
            <v>1</v>
          </cell>
          <cell r="BC39">
            <v>5</v>
          </cell>
          <cell r="BD39">
            <v>0</v>
          </cell>
          <cell r="BE39">
            <v>4</v>
          </cell>
          <cell r="BF39">
            <v>1</v>
          </cell>
          <cell r="BG39">
            <v>0</v>
          </cell>
          <cell r="BH39">
            <v>3</v>
          </cell>
          <cell r="BI39">
            <v>3</v>
          </cell>
          <cell r="BJ39">
            <v>1</v>
          </cell>
          <cell r="BK39">
            <v>2</v>
          </cell>
          <cell r="BL39">
            <v>2</v>
          </cell>
          <cell r="BM39">
            <v>0</v>
          </cell>
          <cell r="BN39">
            <v>1</v>
          </cell>
          <cell r="BO39">
            <v>2</v>
          </cell>
          <cell r="BP39">
            <v>0</v>
          </cell>
          <cell r="BQ39">
            <v>1</v>
          </cell>
          <cell r="BR39">
            <v>2</v>
          </cell>
          <cell r="BS39">
            <v>3</v>
          </cell>
          <cell r="BT39">
            <v>0</v>
          </cell>
          <cell r="BU39">
            <v>0</v>
          </cell>
          <cell r="BV39">
            <v>1</v>
          </cell>
          <cell r="BW39">
            <v>1</v>
          </cell>
          <cell r="BX39">
            <v>2</v>
          </cell>
          <cell r="BY39">
            <v>0</v>
          </cell>
          <cell r="BZ39">
            <v>2</v>
          </cell>
          <cell r="CA39">
            <v>0</v>
          </cell>
          <cell r="CB39">
            <v>0</v>
          </cell>
          <cell r="CC39">
            <v>0</v>
          </cell>
          <cell r="CD39">
            <v>2</v>
          </cell>
          <cell r="CE39">
            <v>0</v>
          </cell>
          <cell r="CF39">
            <v>5</v>
          </cell>
          <cell r="CG39">
            <v>1</v>
          </cell>
          <cell r="CH39">
            <v>2</v>
          </cell>
          <cell r="CI39">
            <v>0</v>
          </cell>
          <cell r="CJ39">
            <v>3</v>
          </cell>
          <cell r="CK39">
            <v>1</v>
          </cell>
          <cell r="CL39">
            <v>0</v>
          </cell>
          <cell r="CM39">
            <v>0</v>
          </cell>
          <cell r="CN39">
            <v>1</v>
          </cell>
          <cell r="CO39">
            <v>1</v>
          </cell>
          <cell r="CP39">
            <v>2</v>
          </cell>
          <cell r="CQ39">
            <v>2</v>
          </cell>
          <cell r="CR39">
            <v>3</v>
          </cell>
          <cell r="CS39">
            <v>2</v>
          </cell>
          <cell r="CT39">
            <v>0</v>
          </cell>
          <cell r="CU39">
            <v>4</v>
          </cell>
          <cell r="CV39">
            <v>2</v>
          </cell>
          <cell r="CW39">
            <v>2</v>
          </cell>
          <cell r="CX39">
            <v>2</v>
          </cell>
          <cell r="CY39">
            <v>3</v>
          </cell>
          <cell r="CZ39">
            <v>2</v>
          </cell>
          <cell r="DA39">
            <v>1</v>
          </cell>
          <cell r="DB39">
            <v>1</v>
          </cell>
          <cell r="DC39">
            <v>3</v>
          </cell>
          <cell r="DD39">
            <v>0</v>
          </cell>
          <cell r="DE39">
            <v>3</v>
          </cell>
          <cell r="DF39">
            <v>1</v>
          </cell>
          <cell r="DG39">
            <v>4</v>
          </cell>
          <cell r="DH39">
            <v>0</v>
          </cell>
          <cell r="DI39">
            <v>0</v>
          </cell>
          <cell r="DJ39">
            <v>0</v>
          </cell>
          <cell r="DK39">
            <v>2</v>
          </cell>
          <cell r="DL39">
            <v>1</v>
          </cell>
          <cell r="DM39">
            <v>3</v>
          </cell>
          <cell r="DN39">
            <v>2</v>
          </cell>
          <cell r="DO39">
            <v>3</v>
          </cell>
          <cell r="DP39">
            <v>1</v>
          </cell>
          <cell r="DQ39">
            <v>0</v>
          </cell>
          <cell r="DR39">
            <v>0</v>
          </cell>
          <cell r="DS39">
            <v>2</v>
          </cell>
          <cell r="DT39">
            <v>2</v>
          </cell>
          <cell r="DU39">
            <v>3</v>
          </cell>
          <cell r="DV39">
            <v>1</v>
          </cell>
          <cell r="DW39">
            <v>0</v>
          </cell>
          <cell r="DX39">
            <v>1</v>
          </cell>
          <cell r="DY39">
            <v>0</v>
          </cell>
          <cell r="DZ39">
            <v>0</v>
          </cell>
        </row>
        <row r="40">
          <cell r="A40">
            <v>36</v>
          </cell>
          <cell r="B40" t="str">
            <v>Paulo &amp; Cia</v>
          </cell>
          <cell r="C40">
            <v>2</v>
          </cell>
          <cell r="D40">
            <v>0</v>
          </cell>
          <cell r="E40">
            <v>1</v>
          </cell>
          <cell r="F40">
            <v>2</v>
          </cell>
          <cell r="G40">
            <v>0</v>
          </cell>
          <cell r="H40">
            <v>0</v>
          </cell>
          <cell r="I40">
            <v>1</v>
          </cell>
          <cell r="J40">
            <v>2</v>
          </cell>
          <cell r="K40">
            <v>2</v>
          </cell>
          <cell r="L40">
            <v>0</v>
          </cell>
          <cell r="M40">
            <v>3</v>
          </cell>
          <cell r="N40">
            <v>0</v>
          </cell>
          <cell r="O40">
            <v>2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0</v>
          </cell>
          <cell r="U40">
            <v>2</v>
          </cell>
          <cell r="V40">
            <v>1</v>
          </cell>
          <cell r="W40">
            <v>3</v>
          </cell>
          <cell r="X40">
            <v>1</v>
          </cell>
          <cell r="Y40">
            <v>2</v>
          </cell>
          <cell r="Z40">
            <v>0</v>
          </cell>
          <cell r="AA40">
            <v>2</v>
          </cell>
          <cell r="AB40">
            <v>0</v>
          </cell>
          <cell r="AC40">
            <v>0</v>
          </cell>
          <cell r="AD40">
            <v>3</v>
          </cell>
          <cell r="AE40">
            <v>1</v>
          </cell>
          <cell r="AF40">
            <v>0</v>
          </cell>
          <cell r="AG40">
            <v>2</v>
          </cell>
          <cell r="AH40">
            <v>0</v>
          </cell>
          <cell r="AI40">
            <v>1</v>
          </cell>
          <cell r="AJ40">
            <v>1</v>
          </cell>
          <cell r="AK40">
            <v>2</v>
          </cell>
          <cell r="AL40">
            <v>0</v>
          </cell>
          <cell r="AM40">
            <v>3</v>
          </cell>
          <cell r="AN40">
            <v>0</v>
          </cell>
          <cell r="AO40">
            <v>0</v>
          </cell>
          <cell r="AP40">
            <v>3</v>
          </cell>
          <cell r="AQ40">
            <v>2</v>
          </cell>
          <cell r="AR40">
            <v>1</v>
          </cell>
          <cell r="AS40">
            <v>1</v>
          </cell>
          <cell r="AT40">
            <v>0</v>
          </cell>
          <cell r="AU40">
            <v>2</v>
          </cell>
          <cell r="AV40">
            <v>1</v>
          </cell>
          <cell r="AW40">
            <v>3</v>
          </cell>
          <cell r="AX40">
            <v>0</v>
          </cell>
          <cell r="AY40">
            <v>2</v>
          </cell>
          <cell r="AZ40">
            <v>1</v>
          </cell>
          <cell r="BA40">
            <v>0</v>
          </cell>
          <cell r="BB40">
            <v>1</v>
          </cell>
          <cell r="BC40">
            <v>2</v>
          </cell>
          <cell r="BD40">
            <v>0</v>
          </cell>
          <cell r="BE40">
            <v>2</v>
          </cell>
          <cell r="BF40">
            <v>0</v>
          </cell>
          <cell r="BG40">
            <v>1</v>
          </cell>
          <cell r="BH40">
            <v>3</v>
          </cell>
          <cell r="BI40">
            <v>2</v>
          </cell>
          <cell r="BJ40">
            <v>0</v>
          </cell>
          <cell r="BK40">
            <v>1</v>
          </cell>
          <cell r="BL40">
            <v>1</v>
          </cell>
          <cell r="BM40">
            <v>0</v>
          </cell>
          <cell r="BN40">
            <v>1</v>
          </cell>
          <cell r="BO40">
            <v>2</v>
          </cell>
          <cell r="BP40">
            <v>1</v>
          </cell>
          <cell r="BQ40">
            <v>0</v>
          </cell>
          <cell r="BR40">
            <v>2</v>
          </cell>
          <cell r="BS40">
            <v>3</v>
          </cell>
          <cell r="BT40">
            <v>0</v>
          </cell>
          <cell r="BU40">
            <v>0</v>
          </cell>
          <cell r="BV40">
            <v>2</v>
          </cell>
          <cell r="BW40">
            <v>1</v>
          </cell>
          <cell r="BX40">
            <v>2</v>
          </cell>
          <cell r="BY40">
            <v>0</v>
          </cell>
          <cell r="BZ40">
            <v>1</v>
          </cell>
          <cell r="CA40">
            <v>1</v>
          </cell>
          <cell r="CB40">
            <v>2</v>
          </cell>
          <cell r="CC40">
            <v>1</v>
          </cell>
          <cell r="CD40">
            <v>2</v>
          </cell>
          <cell r="CE40">
            <v>0</v>
          </cell>
          <cell r="CF40">
            <v>3</v>
          </cell>
          <cell r="CG40">
            <v>2</v>
          </cell>
          <cell r="CH40">
            <v>2</v>
          </cell>
          <cell r="CI40">
            <v>0</v>
          </cell>
          <cell r="CJ40">
            <v>4</v>
          </cell>
          <cell r="CK40">
            <v>2</v>
          </cell>
          <cell r="CL40">
            <v>1</v>
          </cell>
          <cell r="CM40">
            <v>0</v>
          </cell>
          <cell r="CN40">
            <v>2</v>
          </cell>
          <cell r="CO40">
            <v>0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0</v>
          </cell>
          <cell r="CU40">
            <v>2</v>
          </cell>
          <cell r="CV40">
            <v>1</v>
          </cell>
          <cell r="CW40">
            <v>1</v>
          </cell>
          <cell r="CX40">
            <v>1</v>
          </cell>
          <cell r="CY40">
            <v>2</v>
          </cell>
          <cell r="CZ40">
            <v>0</v>
          </cell>
          <cell r="DA40">
            <v>1</v>
          </cell>
          <cell r="DB40">
            <v>0</v>
          </cell>
          <cell r="DC40">
            <v>2</v>
          </cell>
          <cell r="DD40">
            <v>1</v>
          </cell>
          <cell r="DE40">
            <v>1</v>
          </cell>
          <cell r="DF40">
            <v>0</v>
          </cell>
          <cell r="DG40">
            <v>2</v>
          </cell>
          <cell r="DH40">
            <v>0</v>
          </cell>
          <cell r="DI40">
            <v>1</v>
          </cell>
          <cell r="DJ40">
            <v>1</v>
          </cell>
          <cell r="DK40">
            <v>2</v>
          </cell>
          <cell r="DL40">
            <v>1</v>
          </cell>
          <cell r="DM40">
            <v>2</v>
          </cell>
          <cell r="DN40">
            <v>0</v>
          </cell>
          <cell r="DO40">
            <v>2</v>
          </cell>
          <cell r="DP40">
            <v>1</v>
          </cell>
          <cell r="DQ40">
            <v>2</v>
          </cell>
          <cell r="DR40">
            <v>1</v>
          </cell>
          <cell r="DS40">
            <v>0</v>
          </cell>
          <cell r="DT40">
            <v>1</v>
          </cell>
          <cell r="DU40">
            <v>2</v>
          </cell>
          <cell r="DV40">
            <v>1</v>
          </cell>
          <cell r="DW40">
            <v>0</v>
          </cell>
          <cell r="DX40">
            <v>1</v>
          </cell>
          <cell r="DY40">
            <v>2</v>
          </cell>
          <cell r="DZ40">
            <v>1</v>
          </cell>
        </row>
        <row r="41">
          <cell r="A41">
            <v>37</v>
          </cell>
          <cell r="B41" t="str">
            <v>Alejandro Fonseca</v>
          </cell>
          <cell r="C41">
            <v>2</v>
          </cell>
          <cell r="D41">
            <v>0</v>
          </cell>
          <cell r="E41">
            <v>1</v>
          </cell>
          <cell r="F41">
            <v>3</v>
          </cell>
          <cell r="G41">
            <v>0</v>
          </cell>
          <cell r="H41">
            <v>1</v>
          </cell>
          <cell r="I41">
            <v>0</v>
          </cell>
          <cell r="J41">
            <v>2</v>
          </cell>
          <cell r="K41">
            <v>3</v>
          </cell>
          <cell r="L41">
            <v>0</v>
          </cell>
          <cell r="M41">
            <v>2</v>
          </cell>
          <cell r="N41">
            <v>0</v>
          </cell>
          <cell r="O41">
            <v>1</v>
          </cell>
          <cell r="P41">
            <v>1</v>
          </cell>
          <cell r="Q41">
            <v>3</v>
          </cell>
          <cell r="R41">
            <v>1</v>
          </cell>
          <cell r="S41">
            <v>1</v>
          </cell>
          <cell r="T41">
            <v>0</v>
          </cell>
          <cell r="U41">
            <v>3</v>
          </cell>
          <cell r="V41">
            <v>1</v>
          </cell>
          <cell r="W41">
            <v>3</v>
          </cell>
          <cell r="X41">
            <v>2</v>
          </cell>
          <cell r="Y41">
            <v>1</v>
          </cell>
          <cell r="Z41">
            <v>0</v>
          </cell>
          <cell r="AA41">
            <v>3</v>
          </cell>
          <cell r="AB41">
            <v>1</v>
          </cell>
          <cell r="AC41">
            <v>1</v>
          </cell>
          <cell r="AD41">
            <v>2</v>
          </cell>
          <cell r="AE41">
            <v>1</v>
          </cell>
          <cell r="AF41">
            <v>0</v>
          </cell>
          <cell r="AG41">
            <v>2</v>
          </cell>
          <cell r="AH41">
            <v>1</v>
          </cell>
          <cell r="AI41">
            <v>1</v>
          </cell>
          <cell r="AJ41">
            <v>3</v>
          </cell>
          <cell r="AK41">
            <v>2</v>
          </cell>
          <cell r="AL41">
            <v>0</v>
          </cell>
          <cell r="AM41">
            <v>2</v>
          </cell>
          <cell r="AN41">
            <v>0</v>
          </cell>
          <cell r="AO41">
            <v>0</v>
          </cell>
          <cell r="AP41">
            <v>4</v>
          </cell>
          <cell r="AQ41">
            <v>2</v>
          </cell>
          <cell r="AR41">
            <v>1</v>
          </cell>
          <cell r="AS41">
            <v>1</v>
          </cell>
          <cell r="AT41">
            <v>0</v>
          </cell>
          <cell r="AU41">
            <v>2</v>
          </cell>
          <cell r="AV41">
            <v>1</v>
          </cell>
          <cell r="AW41">
            <v>3</v>
          </cell>
          <cell r="AX41">
            <v>1</v>
          </cell>
          <cell r="AY41">
            <v>1</v>
          </cell>
          <cell r="AZ41">
            <v>1</v>
          </cell>
          <cell r="BA41">
            <v>0</v>
          </cell>
          <cell r="BB41">
            <v>2</v>
          </cell>
          <cell r="BC41">
            <v>2</v>
          </cell>
          <cell r="BD41">
            <v>0</v>
          </cell>
          <cell r="BE41">
            <v>3</v>
          </cell>
          <cell r="BF41">
            <v>0</v>
          </cell>
          <cell r="BG41">
            <v>1</v>
          </cell>
          <cell r="BH41">
            <v>2</v>
          </cell>
          <cell r="BI41">
            <v>3</v>
          </cell>
          <cell r="BJ41">
            <v>0</v>
          </cell>
          <cell r="BK41">
            <v>1</v>
          </cell>
          <cell r="BL41">
            <v>1</v>
          </cell>
          <cell r="BM41">
            <v>0</v>
          </cell>
          <cell r="BN41">
            <v>1</v>
          </cell>
          <cell r="BO41">
            <v>1</v>
          </cell>
          <cell r="BP41">
            <v>1</v>
          </cell>
          <cell r="BQ41">
            <v>0</v>
          </cell>
          <cell r="BR41">
            <v>2</v>
          </cell>
          <cell r="BS41">
            <v>3</v>
          </cell>
          <cell r="BT41">
            <v>0</v>
          </cell>
          <cell r="BU41">
            <v>1</v>
          </cell>
          <cell r="BV41">
            <v>2</v>
          </cell>
          <cell r="BW41">
            <v>0</v>
          </cell>
          <cell r="BX41">
            <v>3</v>
          </cell>
          <cell r="BY41">
            <v>0</v>
          </cell>
          <cell r="BZ41">
            <v>2</v>
          </cell>
          <cell r="CA41">
            <v>2</v>
          </cell>
          <cell r="CB41">
            <v>3</v>
          </cell>
          <cell r="CC41">
            <v>0</v>
          </cell>
          <cell r="CD41">
            <v>2</v>
          </cell>
          <cell r="CE41">
            <v>1</v>
          </cell>
          <cell r="CF41">
            <v>4</v>
          </cell>
          <cell r="CG41">
            <v>1</v>
          </cell>
          <cell r="CH41">
            <v>1</v>
          </cell>
          <cell r="CI41">
            <v>0</v>
          </cell>
          <cell r="CJ41">
            <v>3</v>
          </cell>
          <cell r="CK41">
            <v>2</v>
          </cell>
          <cell r="CL41">
            <v>1</v>
          </cell>
          <cell r="CM41">
            <v>0</v>
          </cell>
          <cell r="CN41">
            <v>2</v>
          </cell>
          <cell r="CO41">
            <v>0</v>
          </cell>
          <cell r="CP41">
            <v>2</v>
          </cell>
          <cell r="CQ41">
            <v>2</v>
          </cell>
          <cell r="CR41">
            <v>3</v>
          </cell>
          <cell r="CS41">
            <v>1</v>
          </cell>
          <cell r="CT41">
            <v>2</v>
          </cell>
          <cell r="CU41">
            <v>2</v>
          </cell>
          <cell r="CV41">
            <v>1</v>
          </cell>
          <cell r="CW41">
            <v>1</v>
          </cell>
          <cell r="CX41">
            <v>1</v>
          </cell>
          <cell r="CY41">
            <v>3</v>
          </cell>
          <cell r="CZ41">
            <v>1</v>
          </cell>
          <cell r="DA41">
            <v>2</v>
          </cell>
          <cell r="DB41">
            <v>2</v>
          </cell>
          <cell r="DC41">
            <v>2</v>
          </cell>
          <cell r="DD41">
            <v>0</v>
          </cell>
          <cell r="DE41">
            <v>3</v>
          </cell>
          <cell r="DF41">
            <v>1</v>
          </cell>
          <cell r="DG41">
            <v>2</v>
          </cell>
          <cell r="DH41">
            <v>0</v>
          </cell>
          <cell r="DI41">
            <v>2</v>
          </cell>
          <cell r="DJ41">
            <v>2</v>
          </cell>
          <cell r="DK41">
            <v>2</v>
          </cell>
          <cell r="DL41">
            <v>1</v>
          </cell>
          <cell r="DM41">
            <v>2</v>
          </cell>
          <cell r="DN41">
            <v>1</v>
          </cell>
          <cell r="DO41">
            <v>3</v>
          </cell>
          <cell r="DP41">
            <v>1</v>
          </cell>
          <cell r="DQ41">
            <v>2</v>
          </cell>
          <cell r="DR41">
            <v>1</v>
          </cell>
          <cell r="DS41">
            <v>1</v>
          </cell>
          <cell r="DT41">
            <v>1</v>
          </cell>
          <cell r="DU41">
            <v>2</v>
          </cell>
          <cell r="DV41">
            <v>1</v>
          </cell>
          <cell r="DW41">
            <v>0</v>
          </cell>
          <cell r="DX41">
            <v>2</v>
          </cell>
          <cell r="DY41">
            <v>1</v>
          </cell>
          <cell r="DZ41">
            <v>2</v>
          </cell>
        </row>
        <row r="42">
          <cell r="A42">
            <v>38</v>
          </cell>
          <cell r="B42" t="str">
            <v>Juan Carlos Pelaez</v>
          </cell>
          <cell r="C42">
            <v>2</v>
          </cell>
          <cell r="D42">
            <v>0</v>
          </cell>
          <cell r="E42">
            <v>1</v>
          </cell>
          <cell r="F42">
            <v>1</v>
          </cell>
          <cell r="G42">
            <v>1</v>
          </cell>
          <cell r="H42">
            <v>0</v>
          </cell>
          <cell r="I42">
            <v>1</v>
          </cell>
          <cell r="J42">
            <v>3</v>
          </cell>
          <cell r="K42">
            <v>2</v>
          </cell>
          <cell r="L42">
            <v>0</v>
          </cell>
          <cell r="M42">
            <v>1</v>
          </cell>
          <cell r="N42">
            <v>0</v>
          </cell>
          <cell r="O42">
            <v>1</v>
          </cell>
          <cell r="P42">
            <v>0</v>
          </cell>
          <cell r="Q42">
            <v>2</v>
          </cell>
          <cell r="R42">
            <v>0</v>
          </cell>
          <cell r="S42">
            <v>2</v>
          </cell>
          <cell r="T42">
            <v>1</v>
          </cell>
          <cell r="U42">
            <v>3</v>
          </cell>
          <cell r="V42">
            <v>0</v>
          </cell>
          <cell r="W42">
            <v>2</v>
          </cell>
          <cell r="X42">
            <v>0</v>
          </cell>
          <cell r="Y42">
            <v>2</v>
          </cell>
          <cell r="Z42">
            <v>0</v>
          </cell>
          <cell r="AA42">
            <v>3</v>
          </cell>
          <cell r="AB42">
            <v>0</v>
          </cell>
          <cell r="AC42">
            <v>0</v>
          </cell>
          <cell r="AD42">
            <v>3</v>
          </cell>
          <cell r="AE42">
            <v>2</v>
          </cell>
          <cell r="AF42">
            <v>0</v>
          </cell>
          <cell r="AG42">
            <v>3</v>
          </cell>
          <cell r="AH42">
            <v>0</v>
          </cell>
          <cell r="AI42">
            <v>0</v>
          </cell>
          <cell r="AJ42">
            <v>1</v>
          </cell>
          <cell r="AK42">
            <v>2</v>
          </cell>
          <cell r="AL42">
            <v>0</v>
          </cell>
          <cell r="AM42">
            <v>3</v>
          </cell>
          <cell r="AN42">
            <v>0</v>
          </cell>
          <cell r="AO42">
            <v>0</v>
          </cell>
          <cell r="AP42">
            <v>3</v>
          </cell>
          <cell r="AQ42">
            <v>2</v>
          </cell>
          <cell r="AR42">
            <v>0</v>
          </cell>
          <cell r="AS42">
            <v>1</v>
          </cell>
          <cell r="AT42">
            <v>0</v>
          </cell>
          <cell r="AU42">
            <v>1</v>
          </cell>
          <cell r="AV42">
            <v>0</v>
          </cell>
          <cell r="AW42">
            <v>2</v>
          </cell>
          <cell r="AX42">
            <v>0</v>
          </cell>
          <cell r="AY42">
            <v>0</v>
          </cell>
          <cell r="AZ42">
            <v>2</v>
          </cell>
          <cell r="BA42">
            <v>0</v>
          </cell>
          <cell r="BB42">
            <v>1</v>
          </cell>
          <cell r="BC42">
            <v>2</v>
          </cell>
          <cell r="BD42">
            <v>0</v>
          </cell>
          <cell r="BE42">
            <v>2</v>
          </cell>
          <cell r="BF42">
            <v>0</v>
          </cell>
          <cell r="BG42">
            <v>0</v>
          </cell>
          <cell r="BH42">
            <v>2</v>
          </cell>
          <cell r="BI42">
            <v>4</v>
          </cell>
          <cell r="BJ42">
            <v>0</v>
          </cell>
          <cell r="BK42">
            <v>1</v>
          </cell>
          <cell r="BL42">
            <v>1</v>
          </cell>
          <cell r="BM42">
            <v>1</v>
          </cell>
          <cell r="BN42">
            <v>2</v>
          </cell>
          <cell r="BO42">
            <v>2</v>
          </cell>
          <cell r="BP42">
            <v>0</v>
          </cell>
          <cell r="BQ42">
            <v>0</v>
          </cell>
          <cell r="BR42">
            <v>3</v>
          </cell>
          <cell r="BS42">
            <v>2</v>
          </cell>
          <cell r="BT42">
            <v>0</v>
          </cell>
          <cell r="BU42">
            <v>0</v>
          </cell>
          <cell r="BV42">
            <v>2</v>
          </cell>
          <cell r="BW42">
            <v>0</v>
          </cell>
          <cell r="BX42">
            <v>2</v>
          </cell>
          <cell r="BY42">
            <v>0</v>
          </cell>
          <cell r="BZ42">
            <v>1</v>
          </cell>
          <cell r="CA42">
            <v>1</v>
          </cell>
          <cell r="CB42">
            <v>0</v>
          </cell>
          <cell r="CC42">
            <v>1</v>
          </cell>
          <cell r="CD42">
            <v>2</v>
          </cell>
          <cell r="CE42">
            <v>0</v>
          </cell>
          <cell r="CF42">
            <v>3</v>
          </cell>
          <cell r="CG42">
            <v>1</v>
          </cell>
          <cell r="CH42">
            <v>2</v>
          </cell>
          <cell r="CI42">
            <v>0</v>
          </cell>
          <cell r="CJ42">
            <v>3</v>
          </cell>
          <cell r="CK42">
            <v>3</v>
          </cell>
          <cell r="CL42">
            <v>1</v>
          </cell>
          <cell r="CM42">
            <v>1</v>
          </cell>
          <cell r="CN42">
            <v>2</v>
          </cell>
          <cell r="CO42">
            <v>1</v>
          </cell>
          <cell r="CP42">
            <v>3</v>
          </cell>
          <cell r="CQ42">
            <v>2</v>
          </cell>
          <cell r="CR42">
            <v>2</v>
          </cell>
          <cell r="CS42">
            <v>1</v>
          </cell>
          <cell r="CT42">
            <v>0</v>
          </cell>
          <cell r="CU42">
            <v>2</v>
          </cell>
          <cell r="CV42">
            <v>0</v>
          </cell>
          <cell r="CW42">
            <v>2</v>
          </cell>
          <cell r="CX42">
            <v>1</v>
          </cell>
          <cell r="CY42">
            <v>3</v>
          </cell>
          <cell r="CZ42">
            <v>1</v>
          </cell>
          <cell r="DA42">
            <v>1</v>
          </cell>
          <cell r="DB42">
            <v>0</v>
          </cell>
          <cell r="DC42">
            <v>2</v>
          </cell>
          <cell r="DD42">
            <v>1</v>
          </cell>
          <cell r="DE42">
            <v>1</v>
          </cell>
          <cell r="DF42">
            <v>0</v>
          </cell>
          <cell r="DG42">
            <v>3</v>
          </cell>
          <cell r="DH42">
            <v>1</v>
          </cell>
          <cell r="DI42">
            <v>2</v>
          </cell>
          <cell r="DJ42">
            <v>1</v>
          </cell>
          <cell r="DK42">
            <v>2</v>
          </cell>
          <cell r="DL42">
            <v>0</v>
          </cell>
          <cell r="DM42">
            <v>1</v>
          </cell>
          <cell r="DN42">
            <v>0</v>
          </cell>
          <cell r="DO42">
            <v>2</v>
          </cell>
          <cell r="DP42">
            <v>0</v>
          </cell>
          <cell r="DQ42">
            <v>2</v>
          </cell>
          <cell r="DR42">
            <v>1</v>
          </cell>
          <cell r="DS42">
            <v>0</v>
          </cell>
          <cell r="DT42">
            <v>2</v>
          </cell>
          <cell r="DU42">
            <v>1</v>
          </cell>
          <cell r="DV42">
            <v>2</v>
          </cell>
          <cell r="DW42">
            <v>0</v>
          </cell>
          <cell r="DX42">
            <v>2</v>
          </cell>
          <cell r="DY42">
            <v>1</v>
          </cell>
          <cell r="DZ42">
            <v>2</v>
          </cell>
        </row>
        <row r="43">
          <cell r="A43">
            <v>39</v>
          </cell>
          <cell r="B43" t="str">
            <v>Oscar Cuervo</v>
          </cell>
          <cell r="C43">
            <v>1</v>
          </cell>
          <cell r="D43">
            <v>0</v>
          </cell>
          <cell r="E43">
            <v>0</v>
          </cell>
          <cell r="F43">
            <v>2</v>
          </cell>
          <cell r="G43">
            <v>0</v>
          </cell>
          <cell r="H43">
            <v>1</v>
          </cell>
          <cell r="I43">
            <v>1</v>
          </cell>
          <cell r="J43">
            <v>2</v>
          </cell>
          <cell r="K43">
            <v>2</v>
          </cell>
          <cell r="L43">
            <v>0</v>
          </cell>
          <cell r="M43">
            <v>2</v>
          </cell>
          <cell r="N43">
            <v>1</v>
          </cell>
          <cell r="O43">
            <v>1</v>
          </cell>
          <cell r="P43">
            <v>2</v>
          </cell>
          <cell r="Q43">
            <v>1</v>
          </cell>
          <cell r="R43">
            <v>0</v>
          </cell>
          <cell r="S43">
            <v>1</v>
          </cell>
          <cell r="T43">
            <v>0</v>
          </cell>
          <cell r="U43">
            <v>2</v>
          </cell>
          <cell r="V43">
            <v>0</v>
          </cell>
          <cell r="W43">
            <v>2</v>
          </cell>
          <cell r="X43">
            <v>0</v>
          </cell>
          <cell r="Y43">
            <v>2</v>
          </cell>
          <cell r="Z43">
            <v>0</v>
          </cell>
          <cell r="AA43">
            <v>2</v>
          </cell>
          <cell r="AB43">
            <v>0</v>
          </cell>
          <cell r="AC43">
            <v>0</v>
          </cell>
          <cell r="AD43">
            <v>2</v>
          </cell>
          <cell r="AE43">
            <v>1</v>
          </cell>
          <cell r="AF43">
            <v>0</v>
          </cell>
          <cell r="AG43">
            <v>2</v>
          </cell>
          <cell r="AH43">
            <v>0</v>
          </cell>
          <cell r="AI43">
            <v>1</v>
          </cell>
          <cell r="AJ43">
            <v>1</v>
          </cell>
          <cell r="AK43">
            <v>3</v>
          </cell>
          <cell r="AL43">
            <v>0</v>
          </cell>
          <cell r="AM43">
            <v>2</v>
          </cell>
          <cell r="AN43">
            <v>0</v>
          </cell>
          <cell r="AO43">
            <v>0</v>
          </cell>
          <cell r="AP43">
            <v>2</v>
          </cell>
          <cell r="AQ43">
            <v>2</v>
          </cell>
          <cell r="AR43">
            <v>1</v>
          </cell>
          <cell r="AS43">
            <v>1</v>
          </cell>
          <cell r="AT43">
            <v>0</v>
          </cell>
          <cell r="AU43">
            <v>2</v>
          </cell>
          <cell r="AV43">
            <v>1</v>
          </cell>
          <cell r="AW43">
            <v>2</v>
          </cell>
          <cell r="AX43">
            <v>1</v>
          </cell>
          <cell r="AY43">
            <v>1</v>
          </cell>
          <cell r="AZ43">
            <v>2</v>
          </cell>
          <cell r="BA43">
            <v>1</v>
          </cell>
          <cell r="BB43">
            <v>2</v>
          </cell>
          <cell r="BC43">
            <v>2</v>
          </cell>
          <cell r="BD43">
            <v>0</v>
          </cell>
          <cell r="BE43">
            <v>2</v>
          </cell>
          <cell r="BF43">
            <v>0</v>
          </cell>
          <cell r="BG43">
            <v>0</v>
          </cell>
          <cell r="BH43">
            <v>2</v>
          </cell>
          <cell r="BI43">
            <v>2</v>
          </cell>
          <cell r="BJ43">
            <v>0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2</v>
          </cell>
          <cell r="BP43">
            <v>1</v>
          </cell>
          <cell r="BQ43">
            <v>0</v>
          </cell>
          <cell r="BR43">
            <v>1</v>
          </cell>
          <cell r="BS43">
            <v>3</v>
          </cell>
          <cell r="BT43">
            <v>0</v>
          </cell>
          <cell r="BU43">
            <v>0</v>
          </cell>
          <cell r="BV43">
            <v>2</v>
          </cell>
          <cell r="BW43">
            <v>0</v>
          </cell>
          <cell r="BX43">
            <v>2</v>
          </cell>
          <cell r="BY43">
            <v>0</v>
          </cell>
          <cell r="BZ43">
            <v>1</v>
          </cell>
          <cell r="CA43">
            <v>0</v>
          </cell>
          <cell r="CB43">
            <v>1</v>
          </cell>
          <cell r="CC43">
            <v>0</v>
          </cell>
          <cell r="CD43">
            <v>2</v>
          </cell>
          <cell r="CE43">
            <v>0</v>
          </cell>
          <cell r="CF43">
            <v>3</v>
          </cell>
          <cell r="CG43">
            <v>1</v>
          </cell>
          <cell r="CH43">
            <v>1</v>
          </cell>
          <cell r="CI43">
            <v>0</v>
          </cell>
          <cell r="CJ43">
            <v>2</v>
          </cell>
          <cell r="CK43">
            <v>0</v>
          </cell>
          <cell r="CL43">
            <v>0</v>
          </cell>
          <cell r="CM43">
            <v>0</v>
          </cell>
          <cell r="CN43">
            <v>2</v>
          </cell>
          <cell r="CO43">
            <v>1</v>
          </cell>
          <cell r="CP43">
            <v>2</v>
          </cell>
          <cell r="CQ43">
            <v>1</v>
          </cell>
          <cell r="CR43">
            <v>1</v>
          </cell>
          <cell r="CS43">
            <v>1</v>
          </cell>
          <cell r="CT43">
            <v>0</v>
          </cell>
          <cell r="CU43">
            <v>2</v>
          </cell>
          <cell r="CV43">
            <v>1</v>
          </cell>
          <cell r="CW43">
            <v>1</v>
          </cell>
          <cell r="CX43">
            <v>2</v>
          </cell>
          <cell r="CY43">
            <v>2</v>
          </cell>
          <cell r="CZ43">
            <v>1</v>
          </cell>
          <cell r="DA43">
            <v>2</v>
          </cell>
          <cell r="DB43">
            <v>1</v>
          </cell>
          <cell r="DC43">
            <v>1</v>
          </cell>
          <cell r="DD43">
            <v>0</v>
          </cell>
          <cell r="DE43">
            <v>0</v>
          </cell>
          <cell r="DF43">
            <v>1</v>
          </cell>
          <cell r="DG43">
            <v>2</v>
          </cell>
          <cell r="DH43">
            <v>0</v>
          </cell>
          <cell r="DI43">
            <v>1</v>
          </cell>
          <cell r="DJ43">
            <v>0</v>
          </cell>
          <cell r="DK43">
            <v>1</v>
          </cell>
          <cell r="DL43">
            <v>0</v>
          </cell>
          <cell r="DM43">
            <v>2</v>
          </cell>
          <cell r="DN43">
            <v>1</v>
          </cell>
          <cell r="DO43">
            <v>2</v>
          </cell>
          <cell r="DP43">
            <v>1</v>
          </cell>
          <cell r="DQ43">
            <v>2</v>
          </cell>
          <cell r="DR43">
            <v>1</v>
          </cell>
          <cell r="DS43">
            <v>2</v>
          </cell>
          <cell r="DT43">
            <v>1</v>
          </cell>
          <cell r="DU43">
            <v>2</v>
          </cell>
          <cell r="DV43">
            <v>1</v>
          </cell>
          <cell r="DW43">
            <v>1</v>
          </cell>
          <cell r="DX43">
            <v>2</v>
          </cell>
          <cell r="DY43">
            <v>1</v>
          </cell>
          <cell r="DZ43">
            <v>2</v>
          </cell>
        </row>
        <row r="44">
          <cell r="A44">
            <v>40</v>
          </cell>
          <cell r="B44" t="str">
            <v>Asmed Garcia</v>
          </cell>
          <cell r="C44">
            <v>3</v>
          </cell>
          <cell r="D44">
            <v>0</v>
          </cell>
          <cell r="E44">
            <v>1</v>
          </cell>
          <cell r="F44">
            <v>2</v>
          </cell>
          <cell r="G44">
            <v>2</v>
          </cell>
          <cell r="H44">
            <v>1</v>
          </cell>
          <cell r="I44">
            <v>2</v>
          </cell>
          <cell r="J44">
            <v>2</v>
          </cell>
          <cell r="K44">
            <v>2</v>
          </cell>
          <cell r="L44">
            <v>1</v>
          </cell>
          <cell r="M44">
            <v>2</v>
          </cell>
          <cell r="N44">
            <v>0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2</v>
          </cell>
          <cell r="U44">
            <v>2</v>
          </cell>
          <cell r="V44">
            <v>0</v>
          </cell>
          <cell r="W44">
            <v>2</v>
          </cell>
          <cell r="X44">
            <v>1</v>
          </cell>
          <cell r="Y44">
            <v>2</v>
          </cell>
          <cell r="Z44">
            <v>1</v>
          </cell>
          <cell r="AA44">
            <v>2</v>
          </cell>
          <cell r="AB44">
            <v>1</v>
          </cell>
          <cell r="AC44">
            <v>1</v>
          </cell>
          <cell r="AD44">
            <v>2</v>
          </cell>
          <cell r="AE44">
            <v>2</v>
          </cell>
          <cell r="AF44">
            <v>1</v>
          </cell>
          <cell r="AG44">
            <v>3</v>
          </cell>
          <cell r="AH44">
            <v>1</v>
          </cell>
          <cell r="AI44">
            <v>2</v>
          </cell>
          <cell r="AJ44">
            <v>1</v>
          </cell>
          <cell r="AK44">
            <v>2</v>
          </cell>
          <cell r="AL44">
            <v>0</v>
          </cell>
          <cell r="AM44">
            <v>4</v>
          </cell>
          <cell r="AN44">
            <v>0</v>
          </cell>
          <cell r="AO44">
            <v>0</v>
          </cell>
          <cell r="AP44">
            <v>3</v>
          </cell>
          <cell r="AQ44">
            <v>2</v>
          </cell>
          <cell r="AR44">
            <v>1</v>
          </cell>
          <cell r="AS44">
            <v>2</v>
          </cell>
          <cell r="AT44">
            <v>1</v>
          </cell>
          <cell r="AU44">
            <v>2</v>
          </cell>
          <cell r="AV44">
            <v>1</v>
          </cell>
          <cell r="AW44">
            <v>2</v>
          </cell>
          <cell r="AX44">
            <v>0</v>
          </cell>
          <cell r="AY44">
            <v>2</v>
          </cell>
          <cell r="AZ44">
            <v>1</v>
          </cell>
          <cell r="BA44">
            <v>1</v>
          </cell>
          <cell r="BB44">
            <v>2</v>
          </cell>
          <cell r="BC44">
            <v>1</v>
          </cell>
          <cell r="BD44">
            <v>0</v>
          </cell>
          <cell r="BE44">
            <v>2</v>
          </cell>
          <cell r="BF44">
            <v>1</v>
          </cell>
          <cell r="BG44">
            <v>1</v>
          </cell>
          <cell r="BH44">
            <v>2</v>
          </cell>
          <cell r="BI44">
            <v>3</v>
          </cell>
          <cell r="BJ44">
            <v>0</v>
          </cell>
          <cell r="BK44">
            <v>1</v>
          </cell>
          <cell r="BL44">
            <v>2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2</v>
          </cell>
          <cell r="BS44">
            <v>3</v>
          </cell>
          <cell r="BT44">
            <v>1</v>
          </cell>
          <cell r="BU44">
            <v>0</v>
          </cell>
          <cell r="BV44">
            <v>3</v>
          </cell>
          <cell r="BW44">
            <v>1</v>
          </cell>
          <cell r="BX44">
            <v>2</v>
          </cell>
          <cell r="BY44">
            <v>1</v>
          </cell>
          <cell r="BZ44">
            <v>2</v>
          </cell>
          <cell r="CA44">
            <v>0</v>
          </cell>
          <cell r="CB44">
            <v>2</v>
          </cell>
          <cell r="CC44">
            <v>1</v>
          </cell>
          <cell r="CD44">
            <v>2</v>
          </cell>
          <cell r="CE44">
            <v>0</v>
          </cell>
          <cell r="CF44">
            <v>3</v>
          </cell>
          <cell r="CG44">
            <v>2</v>
          </cell>
          <cell r="CH44">
            <v>1</v>
          </cell>
          <cell r="CI44">
            <v>0</v>
          </cell>
          <cell r="CJ44">
            <v>3</v>
          </cell>
          <cell r="CK44">
            <v>2</v>
          </cell>
          <cell r="CL44">
            <v>1</v>
          </cell>
          <cell r="CM44">
            <v>0</v>
          </cell>
          <cell r="CN44">
            <v>2</v>
          </cell>
          <cell r="CO44">
            <v>1</v>
          </cell>
          <cell r="CP44">
            <v>2</v>
          </cell>
          <cell r="CQ44">
            <v>2</v>
          </cell>
          <cell r="CR44">
            <v>0</v>
          </cell>
          <cell r="CS44">
            <v>1</v>
          </cell>
          <cell r="CT44">
            <v>2</v>
          </cell>
          <cell r="CU44">
            <v>1</v>
          </cell>
          <cell r="CV44">
            <v>1</v>
          </cell>
          <cell r="CW44">
            <v>2</v>
          </cell>
          <cell r="CX44">
            <v>2</v>
          </cell>
          <cell r="CY44">
            <v>1</v>
          </cell>
          <cell r="CZ44">
            <v>1</v>
          </cell>
          <cell r="DA44">
            <v>2</v>
          </cell>
          <cell r="DB44">
            <v>1</v>
          </cell>
          <cell r="DC44">
            <v>3</v>
          </cell>
          <cell r="DD44">
            <v>1</v>
          </cell>
          <cell r="DE44">
            <v>2</v>
          </cell>
          <cell r="DF44">
            <v>1</v>
          </cell>
          <cell r="DG44">
            <v>3</v>
          </cell>
          <cell r="DH44">
            <v>1</v>
          </cell>
          <cell r="DI44">
            <v>2</v>
          </cell>
          <cell r="DJ44">
            <v>1</v>
          </cell>
          <cell r="DK44">
            <v>1</v>
          </cell>
          <cell r="DL44">
            <v>1</v>
          </cell>
          <cell r="DM44">
            <v>2</v>
          </cell>
          <cell r="DN44">
            <v>1</v>
          </cell>
          <cell r="DO44">
            <v>2</v>
          </cell>
          <cell r="DP44">
            <v>1</v>
          </cell>
          <cell r="DQ44">
            <v>2</v>
          </cell>
          <cell r="DR44">
            <v>1</v>
          </cell>
          <cell r="DS44">
            <v>1</v>
          </cell>
          <cell r="DT44">
            <v>2</v>
          </cell>
          <cell r="DU44">
            <v>1</v>
          </cell>
          <cell r="DV44">
            <v>1</v>
          </cell>
          <cell r="DW44">
            <v>0</v>
          </cell>
          <cell r="DX44">
            <v>2</v>
          </cell>
          <cell r="DY44">
            <v>2</v>
          </cell>
          <cell r="DZ44">
            <v>2</v>
          </cell>
        </row>
        <row r="45">
          <cell r="A45">
            <v>41</v>
          </cell>
          <cell r="B45" t="str">
            <v>Juan Fernando Fonseca</v>
          </cell>
          <cell r="C45">
            <v>2</v>
          </cell>
          <cell r="D45">
            <v>1</v>
          </cell>
          <cell r="E45">
            <v>0</v>
          </cell>
          <cell r="F45">
            <v>1</v>
          </cell>
          <cell r="G45">
            <v>1</v>
          </cell>
          <cell r="H45">
            <v>0</v>
          </cell>
          <cell r="I45">
            <v>2</v>
          </cell>
          <cell r="J45">
            <v>2</v>
          </cell>
          <cell r="K45">
            <v>2</v>
          </cell>
          <cell r="L45">
            <v>0</v>
          </cell>
          <cell r="M45">
            <v>3</v>
          </cell>
          <cell r="N45">
            <v>0</v>
          </cell>
          <cell r="O45">
            <v>1</v>
          </cell>
          <cell r="P45">
            <v>2</v>
          </cell>
          <cell r="Q45">
            <v>1</v>
          </cell>
          <cell r="R45">
            <v>0</v>
          </cell>
          <cell r="S45">
            <v>2</v>
          </cell>
          <cell r="T45">
            <v>0</v>
          </cell>
          <cell r="U45">
            <v>2</v>
          </cell>
          <cell r="V45">
            <v>1</v>
          </cell>
          <cell r="W45">
            <v>3</v>
          </cell>
          <cell r="X45">
            <v>1</v>
          </cell>
          <cell r="Y45">
            <v>2</v>
          </cell>
          <cell r="Z45">
            <v>2</v>
          </cell>
          <cell r="AA45">
            <v>4</v>
          </cell>
          <cell r="AB45">
            <v>0</v>
          </cell>
          <cell r="AC45">
            <v>1</v>
          </cell>
          <cell r="AD45">
            <v>2</v>
          </cell>
          <cell r="AE45">
            <v>1</v>
          </cell>
          <cell r="AF45">
            <v>2</v>
          </cell>
          <cell r="AG45">
            <v>1</v>
          </cell>
          <cell r="AH45">
            <v>0</v>
          </cell>
          <cell r="AI45">
            <v>2</v>
          </cell>
          <cell r="AJ45">
            <v>0</v>
          </cell>
          <cell r="AK45">
            <v>2</v>
          </cell>
          <cell r="AL45">
            <v>0</v>
          </cell>
          <cell r="AM45">
            <v>2</v>
          </cell>
          <cell r="AN45">
            <v>1</v>
          </cell>
          <cell r="AO45">
            <v>0</v>
          </cell>
          <cell r="AP45">
            <v>3</v>
          </cell>
          <cell r="AQ45">
            <v>2</v>
          </cell>
          <cell r="AR45">
            <v>0</v>
          </cell>
          <cell r="AS45">
            <v>2</v>
          </cell>
          <cell r="AT45">
            <v>0</v>
          </cell>
          <cell r="AU45">
            <v>2</v>
          </cell>
          <cell r="AV45">
            <v>1</v>
          </cell>
          <cell r="AW45">
            <v>2</v>
          </cell>
          <cell r="AX45">
            <v>0</v>
          </cell>
          <cell r="AY45">
            <v>1</v>
          </cell>
          <cell r="AZ45">
            <v>0</v>
          </cell>
          <cell r="BA45">
            <v>0</v>
          </cell>
          <cell r="BB45">
            <v>2</v>
          </cell>
          <cell r="BC45">
            <v>2</v>
          </cell>
          <cell r="BD45">
            <v>2</v>
          </cell>
          <cell r="BE45">
            <v>2</v>
          </cell>
          <cell r="BF45">
            <v>2</v>
          </cell>
          <cell r="BG45">
            <v>1</v>
          </cell>
          <cell r="BH45">
            <v>2</v>
          </cell>
          <cell r="BI45">
            <v>3</v>
          </cell>
          <cell r="BJ45">
            <v>0</v>
          </cell>
          <cell r="BK45">
            <v>1</v>
          </cell>
          <cell r="BL45">
            <v>0</v>
          </cell>
          <cell r="BM45">
            <v>1</v>
          </cell>
          <cell r="BN45">
            <v>2</v>
          </cell>
          <cell r="BO45">
            <v>2</v>
          </cell>
          <cell r="BP45">
            <v>1</v>
          </cell>
          <cell r="BQ45">
            <v>1</v>
          </cell>
          <cell r="BR45">
            <v>1</v>
          </cell>
          <cell r="BS45">
            <v>3</v>
          </cell>
          <cell r="BT45">
            <v>1</v>
          </cell>
          <cell r="BU45">
            <v>0</v>
          </cell>
          <cell r="BV45">
            <v>2</v>
          </cell>
          <cell r="BW45">
            <v>1</v>
          </cell>
          <cell r="BX45">
            <v>2</v>
          </cell>
          <cell r="BY45">
            <v>1</v>
          </cell>
          <cell r="BZ45">
            <v>2</v>
          </cell>
          <cell r="CA45">
            <v>1</v>
          </cell>
          <cell r="CB45">
            <v>2</v>
          </cell>
          <cell r="CC45">
            <v>1</v>
          </cell>
          <cell r="CD45">
            <v>3</v>
          </cell>
          <cell r="CE45">
            <v>0</v>
          </cell>
          <cell r="CF45">
            <v>2</v>
          </cell>
          <cell r="CG45">
            <v>1</v>
          </cell>
          <cell r="CH45">
            <v>2</v>
          </cell>
          <cell r="CI45">
            <v>0</v>
          </cell>
          <cell r="CJ45">
            <v>3</v>
          </cell>
          <cell r="CK45">
            <v>1</v>
          </cell>
          <cell r="CL45">
            <v>1</v>
          </cell>
          <cell r="CM45">
            <v>2</v>
          </cell>
          <cell r="CN45">
            <v>1</v>
          </cell>
          <cell r="CO45">
            <v>0</v>
          </cell>
          <cell r="CP45">
            <v>2</v>
          </cell>
          <cell r="CQ45">
            <v>2</v>
          </cell>
          <cell r="CR45">
            <v>1</v>
          </cell>
          <cell r="CS45">
            <v>1</v>
          </cell>
          <cell r="CT45">
            <v>2</v>
          </cell>
          <cell r="CU45">
            <v>1</v>
          </cell>
          <cell r="CV45">
            <v>1</v>
          </cell>
          <cell r="CW45">
            <v>0</v>
          </cell>
          <cell r="CX45">
            <v>2</v>
          </cell>
          <cell r="CY45">
            <v>1</v>
          </cell>
          <cell r="CZ45">
            <v>1</v>
          </cell>
          <cell r="DA45">
            <v>2</v>
          </cell>
          <cell r="DB45">
            <v>0</v>
          </cell>
          <cell r="DC45">
            <v>3</v>
          </cell>
          <cell r="DD45">
            <v>0</v>
          </cell>
          <cell r="DE45">
            <v>2</v>
          </cell>
          <cell r="DF45">
            <v>1</v>
          </cell>
          <cell r="DG45">
            <v>2</v>
          </cell>
          <cell r="DH45">
            <v>0</v>
          </cell>
          <cell r="DI45">
            <v>1</v>
          </cell>
          <cell r="DJ45">
            <v>1</v>
          </cell>
          <cell r="DK45">
            <v>1</v>
          </cell>
          <cell r="DL45">
            <v>2</v>
          </cell>
          <cell r="DM45">
            <v>2</v>
          </cell>
          <cell r="DN45">
            <v>0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2</v>
          </cell>
          <cell r="DT45">
            <v>2</v>
          </cell>
          <cell r="DU45">
            <v>0</v>
          </cell>
          <cell r="DV45">
            <v>2</v>
          </cell>
          <cell r="DW45">
            <v>2</v>
          </cell>
          <cell r="DX45">
            <v>1</v>
          </cell>
          <cell r="DY45">
            <v>1</v>
          </cell>
          <cell r="DZ45">
            <v>2</v>
          </cell>
        </row>
        <row r="46">
          <cell r="A46">
            <v>42</v>
          </cell>
          <cell r="B46" t="str">
            <v>Sandra Díez</v>
          </cell>
          <cell r="C46">
            <v>2</v>
          </cell>
          <cell r="D46">
            <v>0</v>
          </cell>
          <cell r="E46">
            <v>0</v>
          </cell>
          <cell r="F46">
            <v>2</v>
          </cell>
          <cell r="G46">
            <v>1</v>
          </cell>
          <cell r="H46">
            <v>1</v>
          </cell>
          <cell r="I46">
            <v>1</v>
          </cell>
          <cell r="J46">
            <v>2</v>
          </cell>
          <cell r="K46">
            <v>2</v>
          </cell>
          <cell r="L46">
            <v>0</v>
          </cell>
          <cell r="M46">
            <v>3</v>
          </cell>
          <cell r="N46">
            <v>0</v>
          </cell>
          <cell r="O46">
            <v>1</v>
          </cell>
          <cell r="P46">
            <v>1</v>
          </cell>
          <cell r="Q46">
            <v>2</v>
          </cell>
          <cell r="R46">
            <v>0</v>
          </cell>
          <cell r="S46">
            <v>2</v>
          </cell>
          <cell r="T46">
            <v>0</v>
          </cell>
          <cell r="U46">
            <v>4</v>
          </cell>
          <cell r="V46">
            <v>1</v>
          </cell>
          <cell r="W46">
            <v>3</v>
          </cell>
          <cell r="X46">
            <v>1</v>
          </cell>
          <cell r="Y46">
            <v>3</v>
          </cell>
          <cell r="Z46">
            <v>1</v>
          </cell>
          <cell r="AA46">
            <v>2</v>
          </cell>
          <cell r="AB46">
            <v>0</v>
          </cell>
          <cell r="AC46">
            <v>0</v>
          </cell>
          <cell r="AD46">
            <v>3</v>
          </cell>
          <cell r="AE46">
            <v>1</v>
          </cell>
          <cell r="AF46">
            <v>0</v>
          </cell>
          <cell r="AG46">
            <v>2</v>
          </cell>
          <cell r="AH46">
            <v>0</v>
          </cell>
          <cell r="AI46">
            <v>1</v>
          </cell>
          <cell r="AJ46">
            <v>0</v>
          </cell>
          <cell r="AK46">
            <v>2</v>
          </cell>
          <cell r="AL46">
            <v>0</v>
          </cell>
          <cell r="AM46">
            <v>3</v>
          </cell>
          <cell r="AN46">
            <v>0</v>
          </cell>
          <cell r="AO46">
            <v>0</v>
          </cell>
          <cell r="AP46">
            <v>3</v>
          </cell>
          <cell r="AQ46">
            <v>3</v>
          </cell>
          <cell r="AR46">
            <v>1</v>
          </cell>
          <cell r="AS46">
            <v>1</v>
          </cell>
          <cell r="AT46">
            <v>1</v>
          </cell>
          <cell r="AU46">
            <v>2</v>
          </cell>
          <cell r="AV46">
            <v>1</v>
          </cell>
          <cell r="AW46">
            <v>3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2</v>
          </cell>
          <cell r="BD46">
            <v>0</v>
          </cell>
          <cell r="BE46">
            <v>2</v>
          </cell>
          <cell r="BF46">
            <v>0</v>
          </cell>
          <cell r="BG46">
            <v>1</v>
          </cell>
          <cell r="BH46">
            <v>1</v>
          </cell>
          <cell r="BI46">
            <v>3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2</v>
          </cell>
          <cell r="BO46">
            <v>3</v>
          </cell>
          <cell r="BP46">
            <v>1</v>
          </cell>
          <cell r="BQ46">
            <v>0</v>
          </cell>
          <cell r="BR46">
            <v>0</v>
          </cell>
          <cell r="BS46">
            <v>4</v>
          </cell>
          <cell r="BT46">
            <v>0</v>
          </cell>
          <cell r="BU46">
            <v>0</v>
          </cell>
          <cell r="BV46">
            <v>1</v>
          </cell>
          <cell r="BW46">
            <v>1</v>
          </cell>
          <cell r="BX46">
            <v>3</v>
          </cell>
          <cell r="BY46">
            <v>0</v>
          </cell>
          <cell r="BZ46">
            <v>1</v>
          </cell>
          <cell r="CA46">
            <v>1</v>
          </cell>
          <cell r="CB46">
            <v>1</v>
          </cell>
          <cell r="CC46">
            <v>0</v>
          </cell>
          <cell r="CD46">
            <v>2</v>
          </cell>
          <cell r="CE46">
            <v>0</v>
          </cell>
          <cell r="CF46">
            <v>4</v>
          </cell>
          <cell r="CG46">
            <v>0</v>
          </cell>
          <cell r="CH46">
            <v>1</v>
          </cell>
          <cell r="CI46">
            <v>0</v>
          </cell>
          <cell r="CJ46">
            <v>4</v>
          </cell>
          <cell r="CK46">
            <v>0</v>
          </cell>
          <cell r="CL46">
            <v>2</v>
          </cell>
          <cell r="CM46">
            <v>1</v>
          </cell>
          <cell r="CN46">
            <v>3</v>
          </cell>
          <cell r="CO46">
            <v>1</v>
          </cell>
          <cell r="CP46">
            <v>3</v>
          </cell>
          <cell r="CQ46">
            <v>2</v>
          </cell>
          <cell r="CR46">
            <v>2</v>
          </cell>
          <cell r="CS46">
            <v>1</v>
          </cell>
          <cell r="CT46">
            <v>1</v>
          </cell>
          <cell r="CU46">
            <v>3</v>
          </cell>
          <cell r="CV46">
            <v>1</v>
          </cell>
          <cell r="CW46">
            <v>2</v>
          </cell>
          <cell r="CX46">
            <v>3</v>
          </cell>
          <cell r="CY46">
            <v>4</v>
          </cell>
          <cell r="CZ46">
            <v>0</v>
          </cell>
          <cell r="DA46">
            <v>2</v>
          </cell>
          <cell r="DB46">
            <v>1</v>
          </cell>
          <cell r="DC46">
            <v>3</v>
          </cell>
          <cell r="DD46">
            <v>0</v>
          </cell>
          <cell r="DE46">
            <v>3</v>
          </cell>
          <cell r="DF46">
            <v>2</v>
          </cell>
          <cell r="DG46">
            <v>3</v>
          </cell>
          <cell r="DH46">
            <v>1</v>
          </cell>
          <cell r="DI46">
            <v>3</v>
          </cell>
          <cell r="DJ46">
            <v>1</v>
          </cell>
          <cell r="DK46">
            <v>1</v>
          </cell>
          <cell r="DL46">
            <v>2</v>
          </cell>
          <cell r="DM46">
            <v>3</v>
          </cell>
          <cell r="DN46">
            <v>2</v>
          </cell>
          <cell r="DO46">
            <v>4</v>
          </cell>
          <cell r="DP46">
            <v>1</v>
          </cell>
          <cell r="DQ46">
            <v>2</v>
          </cell>
          <cell r="DR46">
            <v>1</v>
          </cell>
          <cell r="DS46">
            <v>1</v>
          </cell>
          <cell r="DT46">
            <v>3</v>
          </cell>
          <cell r="DU46">
            <v>3</v>
          </cell>
          <cell r="DV46">
            <v>1</v>
          </cell>
          <cell r="DW46">
            <v>3</v>
          </cell>
          <cell r="DX46">
            <v>2</v>
          </cell>
          <cell r="DY46">
            <v>3</v>
          </cell>
          <cell r="DZ46">
            <v>2</v>
          </cell>
        </row>
        <row r="47">
          <cell r="A47">
            <v>43</v>
          </cell>
          <cell r="B47" t="str">
            <v>Ale Fonseca D</v>
          </cell>
          <cell r="C47">
            <v>0</v>
          </cell>
          <cell r="D47">
            <v>0</v>
          </cell>
          <cell r="E47">
            <v>0</v>
          </cell>
          <cell r="F47">
            <v>2</v>
          </cell>
          <cell r="G47">
            <v>1</v>
          </cell>
          <cell r="H47">
            <v>0</v>
          </cell>
          <cell r="I47">
            <v>3</v>
          </cell>
          <cell r="J47">
            <v>2</v>
          </cell>
          <cell r="K47">
            <v>2</v>
          </cell>
          <cell r="L47">
            <v>0</v>
          </cell>
          <cell r="M47">
            <v>3</v>
          </cell>
          <cell r="N47">
            <v>0</v>
          </cell>
          <cell r="O47">
            <v>1</v>
          </cell>
          <cell r="P47">
            <v>0</v>
          </cell>
          <cell r="Q47">
            <v>1</v>
          </cell>
          <cell r="R47">
            <v>0</v>
          </cell>
          <cell r="S47">
            <v>2</v>
          </cell>
          <cell r="T47">
            <v>0</v>
          </cell>
          <cell r="U47">
            <v>3</v>
          </cell>
          <cell r="V47">
            <v>1</v>
          </cell>
          <cell r="W47">
            <v>3</v>
          </cell>
          <cell r="X47">
            <v>2</v>
          </cell>
          <cell r="Y47">
            <v>1</v>
          </cell>
          <cell r="Z47">
            <v>1</v>
          </cell>
          <cell r="AA47">
            <v>2</v>
          </cell>
          <cell r="AB47">
            <v>0</v>
          </cell>
          <cell r="AC47">
            <v>0</v>
          </cell>
          <cell r="AD47">
            <v>3</v>
          </cell>
          <cell r="AE47">
            <v>1</v>
          </cell>
          <cell r="AF47">
            <v>0</v>
          </cell>
          <cell r="AG47">
            <v>2</v>
          </cell>
          <cell r="AH47">
            <v>0</v>
          </cell>
          <cell r="AI47">
            <v>1</v>
          </cell>
          <cell r="AJ47">
            <v>0</v>
          </cell>
          <cell r="AK47">
            <v>3</v>
          </cell>
          <cell r="AL47">
            <v>0</v>
          </cell>
          <cell r="AM47">
            <v>2</v>
          </cell>
          <cell r="AN47">
            <v>0</v>
          </cell>
          <cell r="AO47">
            <v>0</v>
          </cell>
          <cell r="AP47">
            <v>2</v>
          </cell>
          <cell r="AQ47">
            <v>2</v>
          </cell>
          <cell r="AR47">
            <v>0</v>
          </cell>
          <cell r="AS47">
            <v>1</v>
          </cell>
          <cell r="AT47">
            <v>1</v>
          </cell>
          <cell r="AU47">
            <v>3</v>
          </cell>
          <cell r="AV47">
            <v>0</v>
          </cell>
          <cell r="AW47">
            <v>3</v>
          </cell>
          <cell r="AX47">
            <v>2</v>
          </cell>
          <cell r="AY47">
            <v>1</v>
          </cell>
          <cell r="AZ47">
            <v>3</v>
          </cell>
          <cell r="BA47">
            <v>0</v>
          </cell>
          <cell r="BB47">
            <v>1</v>
          </cell>
          <cell r="BC47">
            <v>1</v>
          </cell>
          <cell r="BD47">
            <v>0</v>
          </cell>
          <cell r="BE47">
            <v>3</v>
          </cell>
          <cell r="BF47">
            <v>0</v>
          </cell>
          <cell r="BG47">
            <v>0</v>
          </cell>
          <cell r="BH47">
            <v>2</v>
          </cell>
          <cell r="BI47">
            <v>2</v>
          </cell>
          <cell r="BJ47">
            <v>0</v>
          </cell>
          <cell r="BK47">
            <v>1</v>
          </cell>
          <cell r="BL47">
            <v>1</v>
          </cell>
          <cell r="BM47">
            <v>1</v>
          </cell>
          <cell r="BN47">
            <v>2</v>
          </cell>
          <cell r="BO47">
            <v>2</v>
          </cell>
          <cell r="BP47">
            <v>0</v>
          </cell>
          <cell r="BQ47">
            <v>1</v>
          </cell>
          <cell r="BR47">
            <v>1</v>
          </cell>
          <cell r="BS47">
            <v>2</v>
          </cell>
          <cell r="BT47">
            <v>0</v>
          </cell>
          <cell r="BU47">
            <v>0</v>
          </cell>
          <cell r="BV47">
            <v>3</v>
          </cell>
          <cell r="BW47">
            <v>1</v>
          </cell>
          <cell r="BX47">
            <v>0</v>
          </cell>
          <cell r="BY47">
            <v>1</v>
          </cell>
          <cell r="BZ47">
            <v>0</v>
          </cell>
          <cell r="CA47">
            <v>2</v>
          </cell>
          <cell r="CB47">
            <v>0</v>
          </cell>
          <cell r="CC47">
            <v>0</v>
          </cell>
          <cell r="CD47">
            <v>3</v>
          </cell>
          <cell r="CE47">
            <v>0</v>
          </cell>
          <cell r="CF47">
            <v>2</v>
          </cell>
          <cell r="CG47">
            <v>1</v>
          </cell>
          <cell r="CH47">
            <v>0</v>
          </cell>
          <cell r="CI47">
            <v>0</v>
          </cell>
          <cell r="CJ47">
            <v>3</v>
          </cell>
          <cell r="CK47">
            <v>1</v>
          </cell>
          <cell r="CL47">
            <v>3</v>
          </cell>
          <cell r="CM47">
            <v>0</v>
          </cell>
          <cell r="CN47">
            <v>1</v>
          </cell>
          <cell r="CO47">
            <v>0</v>
          </cell>
          <cell r="CP47">
            <v>1</v>
          </cell>
          <cell r="CQ47">
            <v>2</v>
          </cell>
          <cell r="CR47">
            <v>0</v>
          </cell>
          <cell r="CS47">
            <v>0</v>
          </cell>
          <cell r="CT47">
            <v>1</v>
          </cell>
          <cell r="CU47">
            <v>3</v>
          </cell>
          <cell r="CV47">
            <v>1</v>
          </cell>
          <cell r="CW47">
            <v>1</v>
          </cell>
          <cell r="CX47">
            <v>2</v>
          </cell>
          <cell r="CY47">
            <v>3</v>
          </cell>
          <cell r="CZ47">
            <v>0</v>
          </cell>
          <cell r="DA47">
            <v>3</v>
          </cell>
          <cell r="DB47">
            <v>0</v>
          </cell>
          <cell r="DC47">
            <v>3</v>
          </cell>
          <cell r="DD47">
            <v>0</v>
          </cell>
          <cell r="DE47">
            <v>3</v>
          </cell>
          <cell r="DF47">
            <v>1</v>
          </cell>
          <cell r="DG47">
            <v>2</v>
          </cell>
          <cell r="DH47">
            <v>1</v>
          </cell>
          <cell r="DI47">
            <v>2</v>
          </cell>
          <cell r="DJ47">
            <v>2</v>
          </cell>
          <cell r="DK47">
            <v>1</v>
          </cell>
          <cell r="DL47">
            <v>2</v>
          </cell>
          <cell r="DM47">
            <v>3</v>
          </cell>
          <cell r="DN47">
            <v>3</v>
          </cell>
          <cell r="DO47">
            <v>3</v>
          </cell>
          <cell r="DP47">
            <v>1</v>
          </cell>
          <cell r="DQ47">
            <v>2</v>
          </cell>
          <cell r="DR47">
            <v>3</v>
          </cell>
          <cell r="DS47">
            <v>3</v>
          </cell>
          <cell r="DT47">
            <v>2</v>
          </cell>
          <cell r="DU47">
            <v>3</v>
          </cell>
          <cell r="DV47">
            <v>2</v>
          </cell>
          <cell r="DW47">
            <v>3</v>
          </cell>
          <cell r="DX47">
            <v>2</v>
          </cell>
          <cell r="DY47">
            <v>2</v>
          </cell>
          <cell r="DZ47">
            <v>1</v>
          </cell>
        </row>
        <row r="48">
          <cell r="A48">
            <v>44</v>
          </cell>
          <cell r="B48" t="str">
            <v>Luis Eduardo Fonseca</v>
          </cell>
          <cell r="C48">
            <v>2</v>
          </cell>
          <cell r="D48">
            <v>1</v>
          </cell>
          <cell r="E48">
            <v>1</v>
          </cell>
          <cell r="F48">
            <v>2</v>
          </cell>
          <cell r="G48">
            <v>1</v>
          </cell>
          <cell r="H48">
            <v>1</v>
          </cell>
          <cell r="I48">
            <v>1</v>
          </cell>
          <cell r="J48">
            <v>2</v>
          </cell>
          <cell r="K48">
            <v>4</v>
          </cell>
          <cell r="L48">
            <v>0</v>
          </cell>
          <cell r="M48">
            <v>2</v>
          </cell>
          <cell r="N48">
            <v>1</v>
          </cell>
          <cell r="O48">
            <v>1</v>
          </cell>
          <cell r="P48">
            <v>1</v>
          </cell>
          <cell r="Q48">
            <v>2</v>
          </cell>
          <cell r="R48">
            <v>0</v>
          </cell>
          <cell r="S48">
            <v>1</v>
          </cell>
          <cell r="T48">
            <v>0</v>
          </cell>
          <cell r="U48">
            <v>4</v>
          </cell>
          <cell r="V48">
            <v>0</v>
          </cell>
          <cell r="W48">
            <v>3</v>
          </cell>
          <cell r="X48">
            <v>0</v>
          </cell>
          <cell r="Y48">
            <v>3</v>
          </cell>
          <cell r="Z48">
            <v>1</v>
          </cell>
          <cell r="AA48">
            <v>4</v>
          </cell>
          <cell r="AB48">
            <v>1</v>
          </cell>
          <cell r="AC48">
            <v>0</v>
          </cell>
          <cell r="AD48">
            <v>1</v>
          </cell>
          <cell r="AE48">
            <v>2</v>
          </cell>
          <cell r="AF48">
            <v>1</v>
          </cell>
          <cell r="AG48">
            <v>3</v>
          </cell>
          <cell r="AH48">
            <v>0</v>
          </cell>
          <cell r="AI48">
            <v>2</v>
          </cell>
          <cell r="AJ48">
            <v>3</v>
          </cell>
          <cell r="AK48">
            <v>3</v>
          </cell>
          <cell r="AL48">
            <v>1</v>
          </cell>
          <cell r="AM48">
            <v>2</v>
          </cell>
          <cell r="AN48">
            <v>0</v>
          </cell>
          <cell r="AO48">
            <v>0</v>
          </cell>
          <cell r="AP48">
            <v>3</v>
          </cell>
          <cell r="AQ48">
            <v>2</v>
          </cell>
          <cell r="AR48">
            <v>0</v>
          </cell>
          <cell r="AS48">
            <v>2</v>
          </cell>
          <cell r="AT48">
            <v>0</v>
          </cell>
          <cell r="AU48">
            <v>3</v>
          </cell>
          <cell r="AV48">
            <v>1</v>
          </cell>
          <cell r="AW48">
            <v>3</v>
          </cell>
          <cell r="AX48">
            <v>1</v>
          </cell>
          <cell r="AY48">
            <v>1</v>
          </cell>
          <cell r="AZ48">
            <v>2</v>
          </cell>
          <cell r="BA48">
            <v>1</v>
          </cell>
          <cell r="BB48">
            <v>2</v>
          </cell>
          <cell r="BC48">
            <v>1</v>
          </cell>
          <cell r="BD48">
            <v>0</v>
          </cell>
          <cell r="BE48">
            <v>3</v>
          </cell>
          <cell r="BF48">
            <v>1</v>
          </cell>
          <cell r="BG48">
            <v>1</v>
          </cell>
          <cell r="BH48">
            <v>2</v>
          </cell>
          <cell r="BI48">
            <v>3</v>
          </cell>
          <cell r="BJ48">
            <v>0</v>
          </cell>
          <cell r="BK48">
            <v>0</v>
          </cell>
          <cell r="BL48">
            <v>2</v>
          </cell>
          <cell r="BM48">
            <v>2</v>
          </cell>
          <cell r="BN48">
            <v>2</v>
          </cell>
          <cell r="BO48">
            <v>2</v>
          </cell>
          <cell r="BP48">
            <v>1</v>
          </cell>
          <cell r="BQ48">
            <v>1</v>
          </cell>
          <cell r="BR48">
            <v>2</v>
          </cell>
          <cell r="BS48">
            <v>2</v>
          </cell>
          <cell r="BT48">
            <v>1</v>
          </cell>
          <cell r="BU48">
            <v>0</v>
          </cell>
          <cell r="BV48">
            <v>3</v>
          </cell>
          <cell r="BW48">
            <v>1</v>
          </cell>
          <cell r="BX48">
            <v>2</v>
          </cell>
          <cell r="BY48">
            <v>0</v>
          </cell>
          <cell r="BZ48">
            <v>1</v>
          </cell>
          <cell r="CA48">
            <v>1</v>
          </cell>
          <cell r="CB48">
            <v>1</v>
          </cell>
          <cell r="CC48">
            <v>0</v>
          </cell>
          <cell r="CD48">
            <v>3</v>
          </cell>
          <cell r="CE48">
            <v>0</v>
          </cell>
          <cell r="CF48">
            <v>5</v>
          </cell>
          <cell r="CG48">
            <v>2</v>
          </cell>
          <cell r="CH48">
            <v>1</v>
          </cell>
          <cell r="CI48">
            <v>0</v>
          </cell>
          <cell r="CJ48">
            <v>3</v>
          </cell>
          <cell r="CK48">
            <v>1</v>
          </cell>
          <cell r="CL48">
            <v>2</v>
          </cell>
          <cell r="CM48">
            <v>0</v>
          </cell>
          <cell r="CN48">
            <v>2</v>
          </cell>
          <cell r="CO48">
            <v>0</v>
          </cell>
          <cell r="CP48">
            <v>2</v>
          </cell>
          <cell r="CQ48">
            <v>1</v>
          </cell>
          <cell r="CR48">
            <v>2</v>
          </cell>
          <cell r="CS48">
            <v>0</v>
          </cell>
          <cell r="CT48">
            <v>2</v>
          </cell>
          <cell r="CU48">
            <v>4</v>
          </cell>
          <cell r="CV48">
            <v>1</v>
          </cell>
          <cell r="CW48">
            <v>1</v>
          </cell>
          <cell r="CX48">
            <v>1</v>
          </cell>
          <cell r="CY48">
            <v>3</v>
          </cell>
          <cell r="CZ48">
            <v>1</v>
          </cell>
          <cell r="DA48">
            <v>3</v>
          </cell>
          <cell r="DB48">
            <v>1</v>
          </cell>
          <cell r="DC48">
            <v>3</v>
          </cell>
          <cell r="DD48">
            <v>0</v>
          </cell>
          <cell r="DE48">
            <v>2</v>
          </cell>
          <cell r="DF48">
            <v>0</v>
          </cell>
          <cell r="DG48">
            <v>3</v>
          </cell>
          <cell r="DH48">
            <v>1</v>
          </cell>
          <cell r="DI48">
            <v>2</v>
          </cell>
          <cell r="DJ48">
            <v>1</v>
          </cell>
          <cell r="DK48">
            <v>1</v>
          </cell>
          <cell r="DL48">
            <v>2</v>
          </cell>
          <cell r="DM48">
            <v>2</v>
          </cell>
          <cell r="DN48">
            <v>0</v>
          </cell>
          <cell r="DO48">
            <v>2</v>
          </cell>
          <cell r="DP48">
            <v>0</v>
          </cell>
          <cell r="DQ48">
            <v>2</v>
          </cell>
          <cell r="DR48">
            <v>3</v>
          </cell>
          <cell r="DS48">
            <v>1</v>
          </cell>
          <cell r="DT48">
            <v>3</v>
          </cell>
          <cell r="DU48">
            <v>2</v>
          </cell>
          <cell r="DV48">
            <v>1</v>
          </cell>
          <cell r="DW48">
            <v>2</v>
          </cell>
          <cell r="DX48">
            <v>3</v>
          </cell>
          <cell r="DY48">
            <v>1</v>
          </cell>
          <cell r="DZ48">
            <v>0</v>
          </cell>
        </row>
        <row r="49">
          <cell r="A49">
            <v>45</v>
          </cell>
          <cell r="B49" t="str">
            <v>Hernando Garcia</v>
          </cell>
          <cell r="C49">
            <v>3</v>
          </cell>
          <cell r="D49">
            <v>1</v>
          </cell>
          <cell r="E49">
            <v>2</v>
          </cell>
          <cell r="F49">
            <v>1</v>
          </cell>
          <cell r="G49">
            <v>0</v>
          </cell>
          <cell r="H49">
            <v>0</v>
          </cell>
          <cell r="I49">
            <v>2</v>
          </cell>
          <cell r="J49">
            <v>1</v>
          </cell>
          <cell r="K49">
            <v>1</v>
          </cell>
          <cell r="L49">
            <v>0</v>
          </cell>
          <cell r="M49">
            <v>4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2</v>
          </cell>
          <cell r="S49">
            <v>1</v>
          </cell>
          <cell r="T49">
            <v>0</v>
          </cell>
          <cell r="U49">
            <v>3</v>
          </cell>
          <cell r="V49">
            <v>1</v>
          </cell>
          <cell r="W49">
            <v>3</v>
          </cell>
          <cell r="X49">
            <v>1</v>
          </cell>
          <cell r="Y49">
            <v>1</v>
          </cell>
          <cell r="Z49">
            <v>0</v>
          </cell>
          <cell r="AA49">
            <v>2</v>
          </cell>
          <cell r="AB49">
            <v>1</v>
          </cell>
          <cell r="AC49">
            <v>0</v>
          </cell>
          <cell r="AD49">
            <v>1</v>
          </cell>
          <cell r="AE49">
            <v>1</v>
          </cell>
          <cell r="AF49">
            <v>1</v>
          </cell>
          <cell r="AG49">
            <v>2</v>
          </cell>
          <cell r="AH49">
            <v>1</v>
          </cell>
          <cell r="AI49">
            <v>1</v>
          </cell>
          <cell r="AJ49">
            <v>1</v>
          </cell>
          <cell r="AK49">
            <v>2</v>
          </cell>
          <cell r="AL49">
            <v>0</v>
          </cell>
          <cell r="AM49">
            <v>4</v>
          </cell>
          <cell r="AN49">
            <v>1</v>
          </cell>
          <cell r="AO49">
            <v>1</v>
          </cell>
          <cell r="AP49">
            <v>2</v>
          </cell>
          <cell r="AQ49">
            <v>2</v>
          </cell>
          <cell r="AR49">
            <v>1</v>
          </cell>
          <cell r="AS49">
            <v>2</v>
          </cell>
          <cell r="AT49">
            <v>1</v>
          </cell>
          <cell r="AU49">
            <v>3</v>
          </cell>
          <cell r="AV49">
            <v>2</v>
          </cell>
          <cell r="AW49">
            <v>2</v>
          </cell>
          <cell r="AX49">
            <v>1</v>
          </cell>
          <cell r="AY49">
            <v>2</v>
          </cell>
          <cell r="AZ49">
            <v>0</v>
          </cell>
          <cell r="BA49">
            <v>1</v>
          </cell>
          <cell r="BB49">
            <v>2</v>
          </cell>
          <cell r="BC49">
            <v>2</v>
          </cell>
          <cell r="BD49">
            <v>1</v>
          </cell>
          <cell r="BE49">
            <v>2</v>
          </cell>
          <cell r="BF49">
            <v>1</v>
          </cell>
          <cell r="BG49">
            <v>1</v>
          </cell>
          <cell r="BH49">
            <v>2</v>
          </cell>
          <cell r="BI49">
            <v>3</v>
          </cell>
          <cell r="BJ49">
            <v>1</v>
          </cell>
          <cell r="BK49">
            <v>1</v>
          </cell>
          <cell r="BL49">
            <v>2</v>
          </cell>
          <cell r="BM49">
            <v>1</v>
          </cell>
          <cell r="BN49">
            <v>3</v>
          </cell>
          <cell r="BO49">
            <v>0</v>
          </cell>
          <cell r="BP49">
            <v>1</v>
          </cell>
          <cell r="BQ49">
            <v>0</v>
          </cell>
          <cell r="BR49">
            <v>2</v>
          </cell>
          <cell r="BS49">
            <v>3</v>
          </cell>
          <cell r="BT49">
            <v>1</v>
          </cell>
          <cell r="BU49">
            <v>1</v>
          </cell>
          <cell r="BV49">
            <v>3</v>
          </cell>
          <cell r="BW49">
            <v>1</v>
          </cell>
          <cell r="BX49">
            <v>1</v>
          </cell>
          <cell r="BY49">
            <v>1</v>
          </cell>
          <cell r="BZ49">
            <v>0</v>
          </cell>
          <cell r="CA49">
            <v>0</v>
          </cell>
          <cell r="CB49">
            <v>1</v>
          </cell>
          <cell r="CC49">
            <v>0</v>
          </cell>
          <cell r="CD49">
            <v>1</v>
          </cell>
          <cell r="CE49">
            <v>0</v>
          </cell>
          <cell r="CF49">
            <v>2</v>
          </cell>
          <cell r="CG49">
            <v>0</v>
          </cell>
          <cell r="CH49">
            <v>1</v>
          </cell>
          <cell r="CI49">
            <v>0</v>
          </cell>
          <cell r="CJ49">
            <v>2</v>
          </cell>
          <cell r="CK49">
            <v>0</v>
          </cell>
          <cell r="CL49">
            <v>1</v>
          </cell>
          <cell r="CM49">
            <v>0</v>
          </cell>
          <cell r="CN49">
            <v>0</v>
          </cell>
          <cell r="CO49">
            <v>1</v>
          </cell>
          <cell r="CP49">
            <v>0</v>
          </cell>
          <cell r="CQ49">
            <v>0</v>
          </cell>
          <cell r="CR49">
            <v>1</v>
          </cell>
          <cell r="CS49">
            <v>1</v>
          </cell>
          <cell r="CT49">
            <v>0</v>
          </cell>
          <cell r="CU49">
            <v>1</v>
          </cell>
          <cell r="CV49">
            <v>2</v>
          </cell>
          <cell r="CW49">
            <v>1</v>
          </cell>
          <cell r="CX49">
            <v>0</v>
          </cell>
          <cell r="CY49">
            <v>2</v>
          </cell>
          <cell r="CZ49">
            <v>0</v>
          </cell>
          <cell r="DA49">
            <v>0</v>
          </cell>
          <cell r="DB49">
            <v>1</v>
          </cell>
          <cell r="DC49">
            <v>3</v>
          </cell>
          <cell r="DD49">
            <v>1</v>
          </cell>
          <cell r="DE49">
            <v>1</v>
          </cell>
          <cell r="DF49">
            <v>0</v>
          </cell>
          <cell r="DG49">
            <v>2</v>
          </cell>
          <cell r="DH49">
            <v>1</v>
          </cell>
          <cell r="DI49">
            <v>1</v>
          </cell>
          <cell r="DJ49">
            <v>0</v>
          </cell>
          <cell r="DK49">
            <v>3</v>
          </cell>
          <cell r="DL49">
            <v>1</v>
          </cell>
          <cell r="DM49">
            <v>1</v>
          </cell>
          <cell r="DN49">
            <v>0</v>
          </cell>
          <cell r="DO49">
            <v>1</v>
          </cell>
          <cell r="DP49">
            <v>2</v>
          </cell>
          <cell r="DQ49">
            <v>3</v>
          </cell>
          <cell r="DR49">
            <v>2</v>
          </cell>
          <cell r="DS49">
            <v>1</v>
          </cell>
          <cell r="DT49">
            <v>0</v>
          </cell>
          <cell r="DU49">
            <v>0</v>
          </cell>
          <cell r="DV49">
            <v>1</v>
          </cell>
          <cell r="DW49">
            <v>3</v>
          </cell>
          <cell r="DX49">
            <v>1</v>
          </cell>
          <cell r="DY49">
            <v>2</v>
          </cell>
          <cell r="DZ49">
            <v>1</v>
          </cell>
        </row>
        <row r="50">
          <cell r="A50">
            <v>46</v>
          </cell>
          <cell r="B50" t="str">
            <v>Alvaro Holguin</v>
          </cell>
          <cell r="C50">
            <v>3</v>
          </cell>
          <cell r="D50">
            <v>1</v>
          </cell>
          <cell r="E50">
            <v>2</v>
          </cell>
          <cell r="F50">
            <v>2</v>
          </cell>
          <cell r="G50">
            <v>1</v>
          </cell>
          <cell r="H50">
            <v>0</v>
          </cell>
          <cell r="I50">
            <v>2</v>
          </cell>
          <cell r="J50">
            <v>1</v>
          </cell>
          <cell r="K50">
            <v>2</v>
          </cell>
          <cell r="L50">
            <v>1</v>
          </cell>
          <cell r="M50">
            <v>3</v>
          </cell>
          <cell r="N50">
            <v>0</v>
          </cell>
          <cell r="O50">
            <v>1</v>
          </cell>
          <cell r="P50">
            <v>0</v>
          </cell>
          <cell r="Q50">
            <v>1</v>
          </cell>
          <cell r="R50">
            <v>2</v>
          </cell>
          <cell r="S50">
            <v>2</v>
          </cell>
          <cell r="T50">
            <v>0</v>
          </cell>
          <cell r="U50">
            <v>2</v>
          </cell>
          <cell r="V50">
            <v>1</v>
          </cell>
          <cell r="W50">
            <v>3</v>
          </cell>
          <cell r="X50">
            <v>0</v>
          </cell>
          <cell r="Y50">
            <v>1</v>
          </cell>
          <cell r="Z50">
            <v>2</v>
          </cell>
          <cell r="AA50">
            <v>1</v>
          </cell>
          <cell r="AB50">
            <v>0</v>
          </cell>
          <cell r="AC50">
            <v>1</v>
          </cell>
          <cell r="AD50">
            <v>2</v>
          </cell>
          <cell r="AE50">
            <v>2</v>
          </cell>
          <cell r="AF50">
            <v>2</v>
          </cell>
          <cell r="AG50">
            <v>2</v>
          </cell>
          <cell r="AH50">
            <v>0</v>
          </cell>
          <cell r="AI50">
            <v>0</v>
          </cell>
          <cell r="AJ50">
            <v>1</v>
          </cell>
          <cell r="AK50">
            <v>3</v>
          </cell>
          <cell r="AL50">
            <v>1</v>
          </cell>
          <cell r="AM50">
            <v>4</v>
          </cell>
          <cell r="AN50">
            <v>0</v>
          </cell>
          <cell r="AO50">
            <v>0</v>
          </cell>
          <cell r="AP50">
            <v>5</v>
          </cell>
          <cell r="AQ50">
            <v>3</v>
          </cell>
          <cell r="AR50">
            <v>1</v>
          </cell>
          <cell r="AS50">
            <v>2</v>
          </cell>
          <cell r="AT50">
            <v>2</v>
          </cell>
          <cell r="AU50">
            <v>1</v>
          </cell>
          <cell r="AV50">
            <v>1</v>
          </cell>
          <cell r="AW50">
            <v>4</v>
          </cell>
          <cell r="AX50">
            <v>0</v>
          </cell>
          <cell r="AY50">
            <v>2</v>
          </cell>
          <cell r="AZ50">
            <v>0</v>
          </cell>
          <cell r="BA50">
            <v>0</v>
          </cell>
          <cell r="BB50">
            <v>1</v>
          </cell>
          <cell r="BC50">
            <v>1</v>
          </cell>
          <cell r="BD50">
            <v>0</v>
          </cell>
          <cell r="BE50">
            <v>2</v>
          </cell>
          <cell r="BF50">
            <v>0</v>
          </cell>
          <cell r="BG50">
            <v>1</v>
          </cell>
          <cell r="BH50">
            <v>2</v>
          </cell>
          <cell r="BI50">
            <v>3</v>
          </cell>
          <cell r="BJ50">
            <v>0</v>
          </cell>
          <cell r="BK50">
            <v>0</v>
          </cell>
          <cell r="BL50">
            <v>1</v>
          </cell>
          <cell r="BM50">
            <v>1</v>
          </cell>
          <cell r="BN50">
            <v>2</v>
          </cell>
          <cell r="BO50">
            <v>2</v>
          </cell>
          <cell r="BP50">
            <v>1</v>
          </cell>
          <cell r="BQ50">
            <v>0</v>
          </cell>
          <cell r="BR50">
            <v>2</v>
          </cell>
          <cell r="BS50">
            <v>3</v>
          </cell>
          <cell r="BT50">
            <v>1</v>
          </cell>
          <cell r="BU50">
            <v>1</v>
          </cell>
          <cell r="BV50">
            <v>4</v>
          </cell>
          <cell r="BW50">
            <v>0</v>
          </cell>
          <cell r="BX50">
            <v>1</v>
          </cell>
          <cell r="BY50">
            <v>0</v>
          </cell>
          <cell r="BZ50">
            <v>1</v>
          </cell>
          <cell r="CA50">
            <v>1</v>
          </cell>
          <cell r="CB50">
            <v>2</v>
          </cell>
          <cell r="CC50">
            <v>3</v>
          </cell>
          <cell r="CD50">
            <v>3</v>
          </cell>
          <cell r="CE50">
            <v>0</v>
          </cell>
          <cell r="CF50">
            <v>2</v>
          </cell>
          <cell r="CG50">
            <v>1</v>
          </cell>
          <cell r="CH50">
            <v>0</v>
          </cell>
          <cell r="CI50">
            <v>0</v>
          </cell>
          <cell r="CJ50">
            <v>5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2</v>
          </cell>
          <cell r="CR50">
            <v>1</v>
          </cell>
          <cell r="CS50">
            <v>1</v>
          </cell>
          <cell r="CT50">
            <v>0</v>
          </cell>
          <cell r="CU50">
            <v>3</v>
          </cell>
          <cell r="CV50">
            <v>1</v>
          </cell>
          <cell r="CW50">
            <v>2</v>
          </cell>
          <cell r="CX50">
            <v>4</v>
          </cell>
          <cell r="CY50">
            <v>1</v>
          </cell>
          <cell r="CZ50">
            <v>2</v>
          </cell>
          <cell r="DA50">
            <v>1</v>
          </cell>
          <cell r="DB50">
            <v>1</v>
          </cell>
          <cell r="DC50">
            <v>3</v>
          </cell>
          <cell r="DD50">
            <v>1</v>
          </cell>
          <cell r="DE50">
            <v>3</v>
          </cell>
          <cell r="DF50">
            <v>0</v>
          </cell>
          <cell r="DG50">
            <v>2</v>
          </cell>
          <cell r="DH50">
            <v>1</v>
          </cell>
          <cell r="DI50">
            <v>1</v>
          </cell>
          <cell r="DJ50">
            <v>0</v>
          </cell>
          <cell r="DK50">
            <v>2</v>
          </cell>
          <cell r="DL50">
            <v>2</v>
          </cell>
          <cell r="DM50">
            <v>3</v>
          </cell>
          <cell r="DN50">
            <v>1</v>
          </cell>
          <cell r="DO50">
            <v>1</v>
          </cell>
          <cell r="DP50">
            <v>2</v>
          </cell>
          <cell r="DQ50">
            <v>1</v>
          </cell>
          <cell r="DR50">
            <v>1</v>
          </cell>
          <cell r="DS50">
            <v>3</v>
          </cell>
          <cell r="DT50">
            <v>3</v>
          </cell>
          <cell r="DU50">
            <v>1</v>
          </cell>
          <cell r="DV50">
            <v>1</v>
          </cell>
          <cell r="DW50">
            <v>3</v>
          </cell>
          <cell r="DX50">
            <v>3</v>
          </cell>
          <cell r="DY50">
            <v>1</v>
          </cell>
          <cell r="DZ50">
            <v>0</v>
          </cell>
        </row>
        <row r="51">
          <cell r="A51">
            <v>47</v>
          </cell>
          <cell r="B51" t="str">
            <v>Ernesto C Lemaitre F</v>
          </cell>
          <cell r="C51">
            <v>2</v>
          </cell>
          <cell r="D51">
            <v>0</v>
          </cell>
          <cell r="E51">
            <v>0</v>
          </cell>
          <cell r="F51">
            <v>2</v>
          </cell>
          <cell r="G51">
            <v>0</v>
          </cell>
          <cell r="H51">
            <v>0</v>
          </cell>
          <cell r="I51">
            <v>1</v>
          </cell>
          <cell r="J51">
            <v>2</v>
          </cell>
          <cell r="K51">
            <v>3</v>
          </cell>
          <cell r="L51">
            <v>0</v>
          </cell>
          <cell r="M51">
            <v>2</v>
          </cell>
          <cell r="N51">
            <v>0</v>
          </cell>
          <cell r="O51">
            <v>0</v>
          </cell>
          <cell r="P51">
            <v>1</v>
          </cell>
          <cell r="Q51">
            <v>2</v>
          </cell>
          <cell r="R51">
            <v>2</v>
          </cell>
          <cell r="S51">
            <v>1</v>
          </cell>
          <cell r="T51">
            <v>0</v>
          </cell>
          <cell r="U51">
            <v>2</v>
          </cell>
          <cell r="V51">
            <v>0</v>
          </cell>
          <cell r="W51">
            <v>3</v>
          </cell>
          <cell r="X51">
            <v>0</v>
          </cell>
          <cell r="Y51">
            <v>1</v>
          </cell>
          <cell r="Z51">
            <v>1</v>
          </cell>
          <cell r="AA51">
            <v>3</v>
          </cell>
          <cell r="AB51">
            <v>0</v>
          </cell>
          <cell r="AC51">
            <v>0</v>
          </cell>
          <cell r="AD51">
            <v>2</v>
          </cell>
          <cell r="AE51">
            <v>1</v>
          </cell>
          <cell r="AF51">
            <v>2</v>
          </cell>
          <cell r="AG51">
            <v>2</v>
          </cell>
          <cell r="AH51">
            <v>1</v>
          </cell>
          <cell r="AI51">
            <v>1</v>
          </cell>
          <cell r="AJ51">
            <v>1</v>
          </cell>
          <cell r="AK51">
            <v>2</v>
          </cell>
          <cell r="AL51">
            <v>0</v>
          </cell>
          <cell r="AM51">
            <v>3</v>
          </cell>
          <cell r="AN51">
            <v>0</v>
          </cell>
          <cell r="AO51">
            <v>0</v>
          </cell>
          <cell r="AP51">
            <v>3</v>
          </cell>
          <cell r="AQ51">
            <v>2</v>
          </cell>
          <cell r="AR51">
            <v>0</v>
          </cell>
          <cell r="AS51">
            <v>2</v>
          </cell>
          <cell r="AT51">
            <v>1</v>
          </cell>
          <cell r="AU51">
            <v>2</v>
          </cell>
          <cell r="AV51">
            <v>1</v>
          </cell>
          <cell r="AW51">
            <v>2</v>
          </cell>
          <cell r="AX51">
            <v>0</v>
          </cell>
          <cell r="AY51">
            <v>2</v>
          </cell>
          <cell r="AZ51">
            <v>1</v>
          </cell>
          <cell r="BA51">
            <v>0</v>
          </cell>
          <cell r="BB51">
            <v>1</v>
          </cell>
          <cell r="BC51">
            <v>3</v>
          </cell>
          <cell r="BD51">
            <v>0</v>
          </cell>
          <cell r="BE51">
            <v>3</v>
          </cell>
          <cell r="BF51">
            <v>0</v>
          </cell>
          <cell r="BG51">
            <v>1</v>
          </cell>
          <cell r="BH51">
            <v>2</v>
          </cell>
          <cell r="BI51">
            <v>2</v>
          </cell>
          <cell r="BJ51">
            <v>0</v>
          </cell>
          <cell r="BK51">
            <v>0</v>
          </cell>
          <cell r="BL51">
            <v>2</v>
          </cell>
          <cell r="BM51">
            <v>1</v>
          </cell>
          <cell r="BN51">
            <v>1</v>
          </cell>
          <cell r="BO51">
            <v>2</v>
          </cell>
          <cell r="BP51">
            <v>1</v>
          </cell>
          <cell r="BQ51">
            <v>0</v>
          </cell>
          <cell r="BR51">
            <v>2</v>
          </cell>
          <cell r="BS51">
            <v>3</v>
          </cell>
          <cell r="BT51">
            <v>0</v>
          </cell>
          <cell r="BU51">
            <v>0</v>
          </cell>
          <cell r="BV51">
            <v>2</v>
          </cell>
          <cell r="BW51">
            <v>0</v>
          </cell>
          <cell r="BX51">
            <v>2</v>
          </cell>
          <cell r="BY51">
            <v>0</v>
          </cell>
          <cell r="BZ51">
            <v>0</v>
          </cell>
          <cell r="CA51">
            <v>1</v>
          </cell>
          <cell r="CB51">
            <v>2</v>
          </cell>
          <cell r="CC51">
            <v>1</v>
          </cell>
          <cell r="CD51">
            <v>2</v>
          </cell>
          <cell r="CE51">
            <v>0</v>
          </cell>
          <cell r="CF51">
            <v>3</v>
          </cell>
          <cell r="CG51">
            <v>1</v>
          </cell>
          <cell r="CH51">
            <v>0</v>
          </cell>
          <cell r="CI51">
            <v>0</v>
          </cell>
          <cell r="CJ51">
            <v>3</v>
          </cell>
          <cell r="CK51">
            <v>2</v>
          </cell>
          <cell r="CL51">
            <v>1</v>
          </cell>
          <cell r="CM51">
            <v>0</v>
          </cell>
          <cell r="CN51">
            <v>2</v>
          </cell>
          <cell r="CO51">
            <v>2</v>
          </cell>
          <cell r="CP51">
            <v>2</v>
          </cell>
          <cell r="CQ51">
            <v>1</v>
          </cell>
          <cell r="CR51">
            <v>2</v>
          </cell>
          <cell r="CS51">
            <v>1</v>
          </cell>
          <cell r="CT51">
            <v>0</v>
          </cell>
          <cell r="CU51">
            <v>2</v>
          </cell>
          <cell r="CV51">
            <v>0</v>
          </cell>
          <cell r="CW51">
            <v>2</v>
          </cell>
          <cell r="CX51">
            <v>2</v>
          </cell>
          <cell r="CY51">
            <v>2</v>
          </cell>
          <cell r="CZ51">
            <v>0</v>
          </cell>
          <cell r="DA51">
            <v>2</v>
          </cell>
          <cell r="DB51">
            <v>1</v>
          </cell>
          <cell r="DC51">
            <v>2</v>
          </cell>
          <cell r="DD51">
            <v>0</v>
          </cell>
          <cell r="DE51">
            <v>2</v>
          </cell>
          <cell r="DF51">
            <v>1</v>
          </cell>
          <cell r="DG51">
            <v>2</v>
          </cell>
          <cell r="DH51">
            <v>0</v>
          </cell>
          <cell r="DI51">
            <v>1</v>
          </cell>
          <cell r="DJ51">
            <v>1</v>
          </cell>
          <cell r="DK51">
            <v>2</v>
          </cell>
          <cell r="DL51">
            <v>0</v>
          </cell>
          <cell r="DM51">
            <v>2</v>
          </cell>
          <cell r="DN51">
            <v>1</v>
          </cell>
          <cell r="DO51">
            <v>2</v>
          </cell>
          <cell r="DP51">
            <v>0</v>
          </cell>
          <cell r="DQ51">
            <v>1</v>
          </cell>
          <cell r="DR51">
            <v>1</v>
          </cell>
          <cell r="DS51">
            <v>1</v>
          </cell>
          <cell r="DT51">
            <v>2</v>
          </cell>
          <cell r="DU51">
            <v>0</v>
          </cell>
          <cell r="DV51">
            <v>1</v>
          </cell>
          <cell r="DW51">
            <v>1</v>
          </cell>
          <cell r="DX51">
            <v>2</v>
          </cell>
          <cell r="DY51">
            <v>1</v>
          </cell>
          <cell r="DZ51">
            <v>0</v>
          </cell>
        </row>
        <row r="52">
          <cell r="A52">
            <v>48</v>
          </cell>
          <cell r="B52" t="str">
            <v>Alejandro-Camilo Borrero</v>
          </cell>
          <cell r="C52">
            <v>2</v>
          </cell>
          <cell r="D52">
            <v>1</v>
          </cell>
          <cell r="E52">
            <v>0</v>
          </cell>
          <cell r="F52">
            <v>2</v>
          </cell>
          <cell r="G52">
            <v>2</v>
          </cell>
          <cell r="H52">
            <v>1</v>
          </cell>
          <cell r="I52">
            <v>1</v>
          </cell>
          <cell r="J52">
            <v>2</v>
          </cell>
          <cell r="K52">
            <v>2</v>
          </cell>
          <cell r="L52">
            <v>0</v>
          </cell>
          <cell r="M52">
            <v>2</v>
          </cell>
          <cell r="N52">
            <v>0</v>
          </cell>
          <cell r="O52">
            <v>1</v>
          </cell>
          <cell r="P52">
            <v>1</v>
          </cell>
          <cell r="Q52">
            <v>2</v>
          </cell>
          <cell r="R52">
            <v>1</v>
          </cell>
          <cell r="S52">
            <v>2</v>
          </cell>
          <cell r="T52">
            <v>2</v>
          </cell>
          <cell r="U52">
            <v>2</v>
          </cell>
          <cell r="V52">
            <v>1</v>
          </cell>
          <cell r="W52">
            <v>2</v>
          </cell>
          <cell r="X52">
            <v>1</v>
          </cell>
          <cell r="Y52">
            <v>0</v>
          </cell>
          <cell r="Z52">
            <v>2</v>
          </cell>
          <cell r="AA52">
            <v>3</v>
          </cell>
          <cell r="AB52">
            <v>0</v>
          </cell>
          <cell r="AC52">
            <v>0</v>
          </cell>
          <cell r="AD52">
            <v>2</v>
          </cell>
          <cell r="AE52">
            <v>2</v>
          </cell>
          <cell r="AF52">
            <v>0</v>
          </cell>
          <cell r="AG52">
            <v>3</v>
          </cell>
          <cell r="AH52">
            <v>2</v>
          </cell>
          <cell r="AI52">
            <v>3</v>
          </cell>
          <cell r="AJ52">
            <v>2</v>
          </cell>
          <cell r="AK52">
            <v>3</v>
          </cell>
          <cell r="AL52">
            <v>1</v>
          </cell>
          <cell r="AM52">
            <v>3</v>
          </cell>
          <cell r="AN52">
            <v>1</v>
          </cell>
          <cell r="AO52">
            <v>0</v>
          </cell>
          <cell r="AP52">
            <v>3</v>
          </cell>
          <cell r="AQ52">
            <v>2</v>
          </cell>
          <cell r="AR52">
            <v>0</v>
          </cell>
          <cell r="AS52">
            <v>0</v>
          </cell>
          <cell r="AT52">
            <v>1</v>
          </cell>
          <cell r="AU52">
            <v>2</v>
          </cell>
          <cell r="AV52">
            <v>1</v>
          </cell>
          <cell r="AW52">
            <v>3</v>
          </cell>
          <cell r="AX52">
            <v>2</v>
          </cell>
          <cell r="AY52">
            <v>0</v>
          </cell>
          <cell r="AZ52">
            <v>1</v>
          </cell>
          <cell r="BA52">
            <v>1</v>
          </cell>
          <cell r="BB52">
            <v>2</v>
          </cell>
          <cell r="BC52">
            <v>2</v>
          </cell>
          <cell r="BD52">
            <v>1</v>
          </cell>
          <cell r="BE52">
            <v>3</v>
          </cell>
          <cell r="BF52">
            <v>1</v>
          </cell>
          <cell r="BG52">
            <v>2</v>
          </cell>
          <cell r="BH52">
            <v>2</v>
          </cell>
          <cell r="BI52">
            <v>3</v>
          </cell>
          <cell r="BJ52">
            <v>1</v>
          </cell>
          <cell r="BK52">
            <v>2</v>
          </cell>
          <cell r="BL52">
            <v>1</v>
          </cell>
          <cell r="BM52">
            <v>2</v>
          </cell>
          <cell r="BN52">
            <v>1</v>
          </cell>
          <cell r="BO52">
            <v>2</v>
          </cell>
          <cell r="BP52">
            <v>2</v>
          </cell>
          <cell r="BQ52">
            <v>2</v>
          </cell>
          <cell r="BR52">
            <v>1</v>
          </cell>
          <cell r="BS52">
            <v>1</v>
          </cell>
          <cell r="BT52">
            <v>2</v>
          </cell>
          <cell r="BU52">
            <v>0</v>
          </cell>
          <cell r="BV52">
            <v>3</v>
          </cell>
          <cell r="BW52">
            <v>1</v>
          </cell>
          <cell r="BX52">
            <v>3</v>
          </cell>
          <cell r="BY52">
            <v>3</v>
          </cell>
          <cell r="BZ52">
            <v>2</v>
          </cell>
          <cell r="CA52">
            <v>1</v>
          </cell>
          <cell r="CB52">
            <v>2</v>
          </cell>
          <cell r="CC52">
            <v>0</v>
          </cell>
          <cell r="CD52">
            <v>3</v>
          </cell>
          <cell r="CE52">
            <v>1</v>
          </cell>
          <cell r="CF52">
            <v>3</v>
          </cell>
          <cell r="CG52">
            <v>3</v>
          </cell>
          <cell r="CH52">
            <v>0</v>
          </cell>
          <cell r="CI52">
            <v>1</v>
          </cell>
          <cell r="CJ52">
            <v>3</v>
          </cell>
          <cell r="CK52">
            <v>2</v>
          </cell>
          <cell r="CL52">
            <v>1</v>
          </cell>
          <cell r="CM52">
            <v>3</v>
          </cell>
          <cell r="CN52">
            <v>2</v>
          </cell>
          <cell r="CO52">
            <v>0</v>
          </cell>
          <cell r="CP52">
            <v>2</v>
          </cell>
          <cell r="CQ52">
            <v>3</v>
          </cell>
          <cell r="CR52">
            <v>2</v>
          </cell>
          <cell r="CS52">
            <v>2</v>
          </cell>
          <cell r="CT52">
            <v>1</v>
          </cell>
          <cell r="CU52">
            <v>3</v>
          </cell>
          <cell r="CV52">
            <v>2</v>
          </cell>
          <cell r="CW52">
            <v>2</v>
          </cell>
          <cell r="CX52">
            <v>3</v>
          </cell>
          <cell r="CY52">
            <v>3</v>
          </cell>
          <cell r="CZ52">
            <v>1</v>
          </cell>
          <cell r="DA52">
            <v>3</v>
          </cell>
          <cell r="DB52">
            <v>0</v>
          </cell>
          <cell r="DC52">
            <v>3</v>
          </cell>
          <cell r="DD52">
            <v>2</v>
          </cell>
          <cell r="DE52">
            <v>2</v>
          </cell>
          <cell r="DF52">
            <v>0</v>
          </cell>
          <cell r="DG52">
            <v>2</v>
          </cell>
          <cell r="DH52">
            <v>1</v>
          </cell>
          <cell r="DI52">
            <v>2</v>
          </cell>
          <cell r="DJ52">
            <v>1</v>
          </cell>
          <cell r="DK52">
            <v>2</v>
          </cell>
          <cell r="DL52">
            <v>2</v>
          </cell>
          <cell r="DM52">
            <v>3</v>
          </cell>
          <cell r="DN52">
            <v>1</v>
          </cell>
          <cell r="DO52">
            <v>3</v>
          </cell>
          <cell r="DP52">
            <v>3</v>
          </cell>
          <cell r="DQ52">
            <v>2</v>
          </cell>
          <cell r="DR52">
            <v>0</v>
          </cell>
          <cell r="DS52">
            <v>1</v>
          </cell>
          <cell r="DT52">
            <v>1</v>
          </cell>
          <cell r="DU52">
            <v>2</v>
          </cell>
          <cell r="DV52">
            <v>4</v>
          </cell>
          <cell r="DW52">
            <v>2</v>
          </cell>
          <cell r="DX52">
            <v>3</v>
          </cell>
          <cell r="DY52">
            <v>1</v>
          </cell>
          <cell r="DZ52">
            <v>3</v>
          </cell>
        </row>
        <row r="53">
          <cell r="A53">
            <v>49</v>
          </cell>
          <cell r="B53" t="str">
            <v>Toqui - Estefania - Daniel</v>
          </cell>
          <cell r="C53">
            <v>1</v>
          </cell>
          <cell r="D53">
            <v>0</v>
          </cell>
          <cell r="E53">
            <v>0</v>
          </cell>
          <cell r="F53">
            <v>1</v>
          </cell>
          <cell r="G53">
            <v>0</v>
          </cell>
          <cell r="H53">
            <v>1</v>
          </cell>
          <cell r="I53">
            <v>2</v>
          </cell>
          <cell r="J53">
            <v>1</v>
          </cell>
          <cell r="K53">
            <v>1</v>
          </cell>
          <cell r="L53">
            <v>0</v>
          </cell>
          <cell r="M53">
            <v>2</v>
          </cell>
          <cell r="N53">
            <v>0</v>
          </cell>
          <cell r="O53">
            <v>2</v>
          </cell>
          <cell r="P53">
            <v>0</v>
          </cell>
          <cell r="Q53">
            <v>1</v>
          </cell>
          <cell r="R53">
            <v>1</v>
          </cell>
          <cell r="S53">
            <v>1</v>
          </cell>
          <cell r="T53">
            <v>0</v>
          </cell>
          <cell r="U53">
            <v>3</v>
          </cell>
          <cell r="V53">
            <v>1</v>
          </cell>
          <cell r="W53">
            <v>2</v>
          </cell>
          <cell r="X53">
            <v>1</v>
          </cell>
          <cell r="Y53">
            <v>2</v>
          </cell>
          <cell r="Z53">
            <v>1</v>
          </cell>
          <cell r="AA53">
            <v>1</v>
          </cell>
          <cell r="AB53">
            <v>1</v>
          </cell>
          <cell r="AC53">
            <v>0</v>
          </cell>
          <cell r="AD53">
            <v>2</v>
          </cell>
          <cell r="AE53">
            <v>1</v>
          </cell>
          <cell r="AF53">
            <v>1</v>
          </cell>
          <cell r="AG53">
            <v>2</v>
          </cell>
          <cell r="AH53">
            <v>1</v>
          </cell>
          <cell r="AI53">
            <v>2</v>
          </cell>
          <cell r="AJ53">
            <v>0</v>
          </cell>
          <cell r="AK53">
            <v>2</v>
          </cell>
          <cell r="AL53">
            <v>0</v>
          </cell>
          <cell r="AM53">
            <v>2</v>
          </cell>
          <cell r="AN53">
            <v>0</v>
          </cell>
          <cell r="AO53">
            <v>0</v>
          </cell>
          <cell r="AP53">
            <v>1</v>
          </cell>
          <cell r="AQ53">
            <v>1</v>
          </cell>
          <cell r="AR53">
            <v>1</v>
          </cell>
          <cell r="AS53">
            <v>0</v>
          </cell>
          <cell r="AT53">
            <v>1</v>
          </cell>
          <cell r="AU53">
            <v>2</v>
          </cell>
          <cell r="AV53">
            <v>0</v>
          </cell>
          <cell r="AW53">
            <v>2</v>
          </cell>
          <cell r="AX53">
            <v>1</v>
          </cell>
          <cell r="AY53">
            <v>1</v>
          </cell>
          <cell r="AZ53">
            <v>1</v>
          </cell>
          <cell r="BA53">
            <v>0</v>
          </cell>
          <cell r="BB53">
            <v>1</v>
          </cell>
          <cell r="BC53">
            <v>1</v>
          </cell>
          <cell r="BD53">
            <v>0</v>
          </cell>
          <cell r="BE53">
            <v>2</v>
          </cell>
          <cell r="BF53">
            <v>0</v>
          </cell>
          <cell r="BG53">
            <v>1</v>
          </cell>
          <cell r="BH53">
            <v>1</v>
          </cell>
          <cell r="BI53">
            <v>2</v>
          </cell>
          <cell r="BJ53">
            <v>0</v>
          </cell>
          <cell r="BK53">
            <v>1</v>
          </cell>
          <cell r="BL53">
            <v>0</v>
          </cell>
          <cell r="BM53">
            <v>1</v>
          </cell>
          <cell r="BN53">
            <v>2</v>
          </cell>
          <cell r="BO53">
            <v>1</v>
          </cell>
          <cell r="BP53">
            <v>0</v>
          </cell>
          <cell r="BQ53">
            <v>1</v>
          </cell>
          <cell r="BR53">
            <v>1</v>
          </cell>
          <cell r="BS53">
            <v>1</v>
          </cell>
          <cell r="BT53">
            <v>0</v>
          </cell>
          <cell r="BU53">
            <v>0</v>
          </cell>
          <cell r="BV53">
            <v>2</v>
          </cell>
          <cell r="BW53">
            <v>0</v>
          </cell>
          <cell r="BX53">
            <v>1</v>
          </cell>
          <cell r="BY53">
            <v>0</v>
          </cell>
          <cell r="BZ53">
            <v>2</v>
          </cell>
          <cell r="CA53">
            <v>1</v>
          </cell>
          <cell r="CB53">
            <v>0</v>
          </cell>
          <cell r="CC53">
            <v>0</v>
          </cell>
          <cell r="CD53">
            <v>2</v>
          </cell>
          <cell r="CE53">
            <v>0</v>
          </cell>
          <cell r="CF53">
            <v>2</v>
          </cell>
          <cell r="CG53">
            <v>1</v>
          </cell>
          <cell r="CH53">
            <v>0</v>
          </cell>
          <cell r="CI53">
            <v>0</v>
          </cell>
          <cell r="CJ53">
            <v>2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0</v>
          </cell>
          <cell r="CP53">
            <v>1</v>
          </cell>
          <cell r="CQ53">
            <v>1</v>
          </cell>
          <cell r="CR53">
            <v>0</v>
          </cell>
          <cell r="CS53">
            <v>1</v>
          </cell>
          <cell r="CT53">
            <v>0</v>
          </cell>
          <cell r="CU53">
            <v>2</v>
          </cell>
          <cell r="CV53">
            <v>1</v>
          </cell>
          <cell r="CW53">
            <v>1</v>
          </cell>
          <cell r="CX53">
            <v>2</v>
          </cell>
          <cell r="CY53">
            <v>1</v>
          </cell>
          <cell r="CZ53">
            <v>2</v>
          </cell>
          <cell r="DA53">
            <v>3</v>
          </cell>
          <cell r="DB53">
            <v>1</v>
          </cell>
          <cell r="DC53">
            <v>2</v>
          </cell>
          <cell r="DD53">
            <v>1</v>
          </cell>
          <cell r="DE53">
            <v>0</v>
          </cell>
          <cell r="DF53">
            <v>1</v>
          </cell>
          <cell r="DG53">
            <v>2</v>
          </cell>
          <cell r="DH53">
            <v>0</v>
          </cell>
          <cell r="DI53">
            <v>2</v>
          </cell>
          <cell r="DJ53">
            <v>1</v>
          </cell>
          <cell r="DK53">
            <v>2</v>
          </cell>
          <cell r="DL53">
            <v>1</v>
          </cell>
          <cell r="DM53">
            <v>2</v>
          </cell>
          <cell r="DN53">
            <v>0</v>
          </cell>
          <cell r="DO53">
            <v>2</v>
          </cell>
          <cell r="DP53">
            <v>1</v>
          </cell>
          <cell r="DQ53">
            <v>1</v>
          </cell>
          <cell r="DR53">
            <v>2</v>
          </cell>
          <cell r="DS53">
            <v>2</v>
          </cell>
          <cell r="DT53">
            <v>1</v>
          </cell>
          <cell r="DU53">
            <v>3</v>
          </cell>
          <cell r="DV53">
            <v>1</v>
          </cell>
          <cell r="DW53">
            <v>2</v>
          </cell>
          <cell r="DX53">
            <v>0</v>
          </cell>
          <cell r="DY53">
            <v>1</v>
          </cell>
          <cell r="DZ53">
            <v>3</v>
          </cell>
        </row>
        <row r="54">
          <cell r="A54">
            <v>50</v>
          </cell>
          <cell r="B54" t="str">
            <v>Toqui Lemaitre</v>
          </cell>
          <cell r="C54">
            <v>1</v>
          </cell>
          <cell r="D54">
            <v>0</v>
          </cell>
          <cell r="E54">
            <v>1</v>
          </cell>
          <cell r="F54">
            <v>2</v>
          </cell>
          <cell r="G54">
            <v>1</v>
          </cell>
          <cell r="H54">
            <v>1</v>
          </cell>
          <cell r="I54">
            <v>1</v>
          </cell>
          <cell r="J54">
            <v>1</v>
          </cell>
          <cell r="K54">
            <v>2</v>
          </cell>
          <cell r="L54">
            <v>0</v>
          </cell>
          <cell r="M54">
            <v>2</v>
          </cell>
          <cell r="N54">
            <v>0</v>
          </cell>
          <cell r="O54">
            <v>1</v>
          </cell>
          <cell r="P54">
            <v>1</v>
          </cell>
          <cell r="Q54">
            <v>1</v>
          </cell>
          <cell r="R54">
            <v>0</v>
          </cell>
          <cell r="S54">
            <v>0</v>
          </cell>
          <cell r="T54">
            <v>0</v>
          </cell>
          <cell r="U54">
            <v>1</v>
          </cell>
          <cell r="V54">
            <v>0</v>
          </cell>
          <cell r="W54">
            <v>2</v>
          </cell>
          <cell r="X54">
            <v>1</v>
          </cell>
          <cell r="Y54">
            <v>1</v>
          </cell>
          <cell r="Z54">
            <v>0</v>
          </cell>
          <cell r="AA54">
            <v>2</v>
          </cell>
          <cell r="AB54">
            <v>0</v>
          </cell>
          <cell r="AC54">
            <v>0</v>
          </cell>
          <cell r="AD54">
            <v>2</v>
          </cell>
          <cell r="AE54">
            <v>2</v>
          </cell>
          <cell r="AF54">
            <v>0</v>
          </cell>
          <cell r="AG54">
            <v>2</v>
          </cell>
          <cell r="AH54">
            <v>0</v>
          </cell>
          <cell r="AI54">
            <v>0</v>
          </cell>
          <cell r="AJ54">
            <v>1</v>
          </cell>
          <cell r="AK54">
            <v>2</v>
          </cell>
          <cell r="AL54">
            <v>1</v>
          </cell>
          <cell r="AM54">
            <v>2</v>
          </cell>
          <cell r="AN54">
            <v>0</v>
          </cell>
          <cell r="AO54">
            <v>0</v>
          </cell>
          <cell r="AP54">
            <v>2</v>
          </cell>
          <cell r="AQ54">
            <v>2</v>
          </cell>
          <cell r="AR54">
            <v>1</v>
          </cell>
          <cell r="AS54">
            <v>2</v>
          </cell>
          <cell r="AT54">
            <v>1</v>
          </cell>
          <cell r="AU54">
            <v>1</v>
          </cell>
          <cell r="AV54">
            <v>2</v>
          </cell>
          <cell r="AW54">
            <v>2</v>
          </cell>
          <cell r="AX54">
            <v>0</v>
          </cell>
          <cell r="AY54">
            <v>2</v>
          </cell>
          <cell r="AZ54">
            <v>0</v>
          </cell>
          <cell r="BA54">
            <v>1</v>
          </cell>
          <cell r="BB54">
            <v>2</v>
          </cell>
          <cell r="BC54">
            <v>2</v>
          </cell>
          <cell r="BD54">
            <v>0</v>
          </cell>
          <cell r="BE54">
            <v>2</v>
          </cell>
          <cell r="BF54">
            <v>2</v>
          </cell>
          <cell r="BG54">
            <v>1</v>
          </cell>
          <cell r="BH54">
            <v>2</v>
          </cell>
          <cell r="BI54">
            <v>3</v>
          </cell>
          <cell r="BJ54">
            <v>0</v>
          </cell>
          <cell r="BK54">
            <v>1</v>
          </cell>
          <cell r="BL54">
            <v>1</v>
          </cell>
          <cell r="BM54">
            <v>1</v>
          </cell>
          <cell r="BN54">
            <v>2</v>
          </cell>
          <cell r="BO54">
            <v>2</v>
          </cell>
          <cell r="BP54">
            <v>1</v>
          </cell>
          <cell r="BQ54">
            <v>0</v>
          </cell>
          <cell r="BR54">
            <v>2</v>
          </cell>
          <cell r="BS54">
            <v>3</v>
          </cell>
          <cell r="BT54">
            <v>0</v>
          </cell>
          <cell r="BU54">
            <v>0</v>
          </cell>
          <cell r="BV54">
            <v>2</v>
          </cell>
          <cell r="BW54">
            <v>1</v>
          </cell>
          <cell r="BX54">
            <v>2</v>
          </cell>
          <cell r="BY54">
            <v>0</v>
          </cell>
          <cell r="BZ54">
            <v>1</v>
          </cell>
          <cell r="CA54">
            <v>0</v>
          </cell>
          <cell r="CB54">
            <v>2</v>
          </cell>
          <cell r="CC54">
            <v>1</v>
          </cell>
          <cell r="CD54">
            <v>2</v>
          </cell>
          <cell r="CE54">
            <v>0</v>
          </cell>
          <cell r="CF54">
            <v>3</v>
          </cell>
          <cell r="CG54">
            <v>1</v>
          </cell>
          <cell r="CH54">
            <v>1</v>
          </cell>
          <cell r="CI54">
            <v>1</v>
          </cell>
          <cell r="CJ54">
            <v>2</v>
          </cell>
          <cell r="CK54">
            <v>2</v>
          </cell>
          <cell r="CL54">
            <v>1</v>
          </cell>
          <cell r="CM54">
            <v>1</v>
          </cell>
          <cell r="CN54">
            <v>2</v>
          </cell>
          <cell r="CO54">
            <v>1</v>
          </cell>
          <cell r="CP54">
            <v>2</v>
          </cell>
          <cell r="CQ54">
            <v>1</v>
          </cell>
          <cell r="CR54">
            <v>2</v>
          </cell>
          <cell r="CS54">
            <v>0</v>
          </cell>
          <cell r="CT54">
            <v>0</v>
          </cell>
          <cell r="CU54">
            <v>1</v>
          </cell>
          <cell r="CV54">
            <v>0</v>
          </cell>
          <cell r="CW54">
            <v>2</v>
          </cell>
          <cell r="CX54">
            <v>1</v>
          </cell>
          <cell r="CY54">
            <v>2</v>
          </cell>
          <cell r="CZ54">
            <v>0</v>
          </cell>
          <cell r="DA54">
            <v>2</v>
          </cell>
          <cell r="DB54">
            <v>1</v>
          </cell>
          <cell r="DC54">
            <v>2</v>
          </cell>
          <cell r="DD54">
            <v>0</v>
          </cell>
          <cell r="DE54">
            <v>1</v>
          </cell>
          <cell r="DF54">
            <v>2</v>
          </cell>
          <cell r="DG54">
            <v>3</v>
          </cell>
          <cell r="DH54">
            <v>1</v>
          </cell>
          <cell r="DI54">
            <v>2</v>
          </cell>
          <cell r="DJ54">
            <v>0</v>
          </cell>
          <cell r="DK54">
            <v>3</v>
          </cell>
          <cell r="DL54">
            <v>2</v>
          </cell>
          <cell r="DM54">
            <v>2</v>
          </cell>
          <cell r="DN54">
            <v>0</v>
          </cell>
          <cell r="DO54">
            <v>2</v>
          </cell>
          <cell r="DP54">
            <v>1</v>
          </cell>
          <cell r="DQ54">
            <v>2</v>
          </cell>
          <cell r="DR54">
            <v>2</v>
          </cell>
          <cell r="DS54">
            <v>1</v>
          </cell>
          <cell r="DT54">
            <v>2</v>
          </cell>
          <cell r="DU54">
            <v>3</v>
          </cell>
          <cell r="DV54">
            <v>2</v>
          </cell>
          <cell r="DW54">
            <v>1</v>
          </cell>
          <cell r="DX54">
            <v>2</v>
          </cell>
          <cell r="DY54">
            <v>3</v>
          </cell>
          <cell r="DZ54">
            <v>2</v>
          </cell>
        </row>
      </sheetData>
      <sheetData sheetId="10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  <cell r="AH1">
            <v>32</v>
          </cell>
          <cell r="AI1">
            <v>33</v>
          </cell>
          <cell r="AJ1">
            <v>34</v>
          </cell>
          <cell r="AK1">
            <v>35</v>
          </cell>
          <cell r="AL1">
            <v>36</v>
          </cell>
          <cell r="AM1">
            <v>37</v>
          </cell>
          <cell r="AN1">
            <v>38</v>
          </cell>
          <cell r="AO1">
            <v>39</v>
          </cell>
          <cell r="AP1">
            <v>40</v>
          </cell>
          <cell r="AQ1">
            <v>41</v>
          </cell>
          <cell r="AR1">
            <v>42</v>
          </cell>
          <cell r="AS1">
            <v>43</v>
          </cell>
          <cell r="AT1">
            <v>44</v>
          </cell>
          <cell r="AU1">
            <v>45</v>
          </cell>
          <cell r="AV1">
            <v>46</v>
          </cell>
          <cell r="AW1">
            <v>47</v>
          </cell>
          <cell r="AX1">
            <v>48</v>
          </cell>
          <cell r="AY1" t="str">
            <v>Total</v>
          </cell>
          <cell r="AZ1">
            <v>49</v>
          </cell>
          <cell r="BA1">
            <v>50</v>
          </cell>
          <cell r="BB1">
            <v>51</v>
          </cell>
          <cell r="BC1">
            <v>52</v>
          </cell>
          <cell r="BD1">
            <v>53</v>
          </cell>
          <cell r="BE1">
            <v>54</v>
          </cell>
          <cell r="BF1">
            <v>55</v>
          </cell>
          <cell r="BG1">
            <v>56</v>
          </cell>
          <cell r="BH1" t="str">
            <v>Total</v>
          </cell>
          <cell r="BI1">
            <v>57</v>
          </cell>
          <cell r="BJ1">
            <v>58</v>
          </cell>
          <cell r="BK1">
            <v>59</v>
          </cell>
          <cell r="BL1">
            <v>60</v>
          </cell>
          <cell r="BM1" t="str">
            <v>Total</v>
          </cell>
          <cell r="BN1">
            <v>61</v>
          </cell>
          <cell r="BO1">
            <v>62</v>
          </cell>
          <cell r="BP1" t="str">
            <v>Total</v>
          </cell>
          <cell r="BQ1">
            <v>63</v>
          </cell>
          <cell r="BR1" t="str">
            <v>Total</v>
          </cell>
          <cell r="BS1">
            <v>64</v>
          </cell>
          <cell r="BT1" t="str">
            <v>Total</v>
          </cell>
          <cell r="BU1" t="str">
            <v>Total</v>
          </cell>
        </row>
        <row r="2">
          <cell r="C2">
            <v>50</v>
          </cell>
          <cell r="D2">
            <v>48</v>
          </cell>
          <cell r="E2">
            <v>36</v>
          </cell>
          <cell r="F2">
            <v>26</v>
          </cell>
          <cell r="G2">
            <v>51</v>
          </cell>
          <cell r="H2">
            <v>20</v>
          </cell>
          <cell r="I2">
            <v>39</v>
          </cell>
          <cell r="J2">
            <v>33</v>
          </cell>
          <cell r="K2">
            <v>25</v>
          </cell>
          <cell r="L2">
            <v>30</v>
          </cell>
          <cell r="M2">
            <v>23</v>
          </cell>
          <cell r="N2">
            <v>48</v>
          </cell>
          <cell r="O2">
            <v>50</v>
          </cell>
          <cell r="P2">
            <v>51</v>
          </cell>
          <cell r="Q2">
            <v>26</v>
          </cell>
          <cell r="R2">
            <v>9</v>
          </cell>
          <cell r="S2">
            <v>42</v>
          </cell>
          <cell r="T2">
            <v>51</v>
          </cell>
          <cell r="U2">
            <v>51</v>
          </cell>
          <cell r="V2">
            <v>51</v>
          </cell>
          <cell r="W2">
            <v>51</v>
          </cell>
          <cell r="X2">
            <v>39</v>
          </cell>
          <cell r="Y2">
            <v>3</v>
          </cell>
          <cell r="Z2">
            <v>51</v>
          </cell>
          <cell r="AA2">
            <v>30</v>
          </cell>
          <cell r="AB2">
            <v>45</v>
          </cell>
          <cell r="AC2">
            <v>49</v>
          </cell>
          <cell r="AD2">
            <v>51</v>
          </cell>
          <cell r="AE2">
            <v>48</v>
          </cell>
          <cell r="AF2">
            <v>50</v>
          </cell>
          <cell r="AG2">
            <v>42</v>
          </cell>
          <cell r="AH2">
            <v>34</v>
          </cell>
          <cell r="AI2">
            <v>31</v>
          </cell>
          <cell r="AJ2">
            <v>19</v>
          </cell>
          <cell r="AK2">
            <v>21</v>
          </cell>
          <cell r="AL2">
            <v>22</v>
          </cell>
          <cell r="AM2">
            <v>25</v>
          </cell>
          <cell r="AN2">
            <v>42</v>
          </cell>
          <cell r="AO2">
            <v>45</v>
          </cell>
          <cell r="AP2">
            <v>50</v>
          </cell>
          <cell r="AQ2">
            <v>1</v>
          </cell>
          <cell r="AR2">
            <v>12</v>
          </cell>
          <cell r="AS2">
            <v>51</v>
          </cell>
          <cell r="AT2">
            <v>42</v>
          </cell>
          <cell r="AU2">
            <v>48</v>
          </cell>
          <cell r="AV2">
            <v>48</v>
          </cell>
          <cell r="AW2">
            <v>31</v>
          </cell>
          <cell r="AX2">
            <v>37</v>
          </cell>
          <cell r="AY2" t="str">
            <v>Puntos 1era</v>
          </cell>
          <cell r="AZ2">
            <v>0</v>
          </cell>
          <cell r="BA2">
            <v>7</v>
          </cell>
          <cell r="BB2">
            <v>2</v>
          </cell>
          <cell r="BC2">
            <v>3</v>
          </cell>
          <cell r="BD2">
            <v>9</v>
          </cell>
          <cell r="BE2">
            <v>1</v>
          </cell>
          <cell r="BF2">
            <v>1</v>
          </cell>
          <cell r="BG2">
            <v>7</v>
          </cell>
          <cell r="BH2" t="str">
            <v>Puntos</v>
          </cell>
          <cell r="BI2">
            <v>3</v>
          </cell>
          <cell r="BJ2">
            <v>0</v>
          </cell>
          <cell r="BK2">
            <v>0</v>
          </cell>
          <cell r="BL2">
            <v>7</v>
          </cell>
          <cell r="BM2" t="str">
            <v>Puntos</v>
          </cell>
          <cell r="BN2">
            <v>1</v>
          </cell>
          <cell r="BO2">
            <v>9</v>
          </cell>
          <cell r="BP2" t="str">
            <v>Puntos</v>
          </cell>
          <cell r="BQ2">
            <v>2</v>
          </cell>
          <cell r="BR2" t="str">
            <v>Puntos</v>
          </cell>
          <cell r="BS2">
            <v>0</v>
          </cell>
          <cell r="BT2" t="str">
            <v>Puntos</v>
          </cell>
          <cell r="BU2" t="str">
            <v>Puntos</v>
          </cell>
        </row>
        <row r="3">
          <cell r="C3">
            <v>1</v>
          </cell>
          <cell r="D3">
            <v>3</v>
          </cell>
          <cell r="E3">
            <v>15</v>
          </cell>
          <cell r="F3">
            <v>25</v>
          </cell>
          <cell r="G3">
            <v>0</v>
          </cell>
          <cell r="H3">
            <v>31</v>
          </cell>
          <cell r="I3">
            <v>12</v>
          </cell>
          <cell r="J3">
            <v>18</v>
          </cell>
          <cell r="K3">
            <v>26</v>
          </cell>
          <cell r="L3">
            <v>21</v>
          </cell>
          <cell r="M3">
            <v>28</v>
          </cell>
          <cell r="N3">
            <v>3</v>
          </cell>
          <cell r="O3">
            <v>1</v>
          </cell>
          <cell r="P3">
            <v>0</v>
          </cell>
          <cell r="Q3">
            <v>25</v>
          </cell>
          <cell r="R3">
            <v>42</v>
          </cell>
          <cell r="S3">
            <v>9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12</v>
          </cell>
          <cell r="Y3">
            <v>48</v>
          </cell>
          <cell r="Z3">
            <v>0</v>
          </cell>
          <cell r="AA3">
            <v>21</v>
          </cell>
          <cell r="AB3">
            <v>6</v>
          </cell>
          <cell r="AC3">
            <v>2</v>
          </cell>
          <cell r="AD3">
            <v>0</v>
          </cell>
          <cell r="AE3">
            <v>3</v>
          </cell>
          <cell r="AF3">
            <v>1</v>
          </cell>
          <cell r="AG3">
            <v>9</v>
          </cell>
          <cell r="AH3">
            <v>17</v>
          </cell>
          <cell r="AI3">
            <v>20</v>
          </cell>
          <cell r="AJ3">
            <v>32</v>
          </cell>
          <cell r="AK3">
            <v>30</v>
          </cell>
          <cell r="AL3">
            <v>29</v>
          </cell>
          <cell r="AM3">
            <v>26</v>
          </cell>
          <cell r="AN3">
            <v>9</v>
          </cell>
          <cell r="AO3">
            <v>6</v>
          </cell>
          <cell r="AP3">
            <v>1</v>
          </cell>
          <cell r="AQ3">
            <v>50</v>
          </cell>
          <cell r="AR3">
            <v>39</v>
          </cell>
          <cell r="AS3">
            <v>0</v>
          </cell>
          <cell r="AT3">
            <v>9</v>
          </cell>
          <cell r="AU3">
            <v>3</v>
          </cell>
          <cell r="AV3">
            <v>3</v>
          </cell>
          <cell r="AW3">
            <v>20</v>
          </cell>
          <cell r="AX3">
            <v>14</v>
          </cell>
          <cell r="AY3" t="str">
            <v>Fase</v>
          </cell>
          <cell r="AZ3">
            <v>9</v>
          </cell>
          <cell r="BA3">
            <v>16</v>
          </cell>
          <cell r="BB3">
            <v>26</v>
          </cell>
          <cell r="BC3">
            <v>14</v>
          </cell>
          <cell r="BD3">
            <v>0</v>
          </cell>
          <cell r="BE3">
            <v>7</v>
          </cell>
          <cell r="BF3">
            <v>0</v>
          </cell>
          <cell r="BG3">
            <v>3</v>
          </cell>
          <cell r="BH3" t="str">
            <v>Octavos</v>
          </cell>
          <cell r="BI3">
            <v>15</v>
          </cell>
          <cell r="BJ3">
            <v>37</v>
          </cell>
          <cell r="BK3">
            <v>44</v>
          </cell>
          <cell r="BL3">
            <v>10</v>
          </cell>
          <cell r="BM3" t="str">
            <v>Cuartos</v>
          </cell>
          <cell r="BN3">
            <v>16</v>
          </cell>
          <cell r="BO3">
            <v>10</v>
          </cell>
          <cell r="BP3" t="str">
            <v>Semifinales</v>
          </cell>
          <cell r="BQ3">
            <v>33</v>
          </cell>
          <cell r="BR3" t="str">
            <v>3er Lugar</v>
          </cell>
          <cell r="BS3">
            <v>14</v>
          </cell>
          <cell r="BT3" t="str">
            <v>1er Lugar</v>
          </cell>
          <cell r="BU3" t="str">
            <v>Marcadores</v>
          </cell>
        </row>
        <row r="4">
          <cell r="C4" t="e">
            <v>#REF!</v>
          </cell>
          <cell r="D4" t="e">
            <v>#REF!</v>
          </cell>
          <cell r="E4" t="e">
            <v>#REF!</v>
          </cell>
          <cell r="F4" t="e">
            <v>#REF!</v>
          </cell>
          <cell r="G4" t="e">
            <v>#REF!</v>
          </cell>
          <cell r="H4">
            <v>0</v>
          </cell>
          <cell r="I4">
            <v>0</v>
          </cell>
          <cell r="J4" t="e">
            <v>#REF!</v>
          </cell>
          <cell r="K4">
            <v>0</v>
          </cell>
          <cell r="L4">
            <v>0</v>
          </cell>
          <cell r="M4" t="e">
            <v>#REF!</v>
          </cell>
          <cell r="N4" t="e">
            <v>#REF!</v>
          </cell>
          <cell r="O4" t="e">
            <v>#REF!</v>
          </cell>
          <cell r="P4" t="e">
            <v>#REF!</v>
          </cell>
          <cell r="Q4" t="e">
            <v>#REF!</v>
          </cell>
          <cell r="R4">
            <v>0</v>
          </cell>
          <cell r="S4" t="e">
            <v>#REF!</v>
          </cell>
          <cell r="T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X4" t="e">
            <v>#REF!</v>
          </cell>
          <cell r="Y4">
            <v>0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J4" t="e">
            <v>#REF!</v>
          </cell>
          <cell r="AK4" t="e">
            <v>#REF!</v>
          </cell>
          <cell r="AL4">
            <v>0</v>
          </cell>
          <cell r="AM4" t="e">
            <v>#REF!</v>
          </cell>
          <cell r="AN4" t="e">
            <v>#REF!</v>
          </cell>
          <cell r="AO4" t="e">
            <v>#REF!</v>
          </cell>
          <cell r="AP4" t="e">
            <v>#REF!</v>
          </cell>
          <cell r="AQ4">
            <v>0</v>
          </cell>
          <cell r="AR4" t="e">
            <v>#REF!</v>
          </cell>
          <cell r="AS4" t="e">
            <v>#REF!</v>
          </cell>
          <cell r="AT4" t="e">
            <v>#REF!</v>
          </cell>
          <cell r="AU4" t="e">
            <v>#REF!</v>
          </cell>
          <cell r="AV4" t="e">
            <v>#REF!</v>
          </cell>
          <cell r="AW4" t="e">
            <v>#REF!</v>
          </cell>
          <cell r="AX4" t="e">
            <v>#REF!</v>
          </cell>
          <cell r="AY4" t="e">
            <v>#REF!</v>
          </cell>
          <cell r="AZ4">
            <v>0</v>
          </cell>
          <cell r="BA4">
            <v>0</v>
          </cell>
          <cell r="BB4">
            <v>20</v>
          </cell>
          <cell r="BC4">
            <v>20</v>
          </cell>
          <cell r="BD4">
            <v>50</v>
          </cell>
          <cell r="BE4">
            <v>30</v>
          </cell>
          <cell r="BF4">
            <v>30</v>
          </cell>
          <cell r="BG4">
            <v>0</v>
          </cell>
          <cell r="BH4">
            <v>150</v>
          </cell>
          <cell r="BI4">
            <v>20</v>
          </cell>
          <cell r="BJ4">
            <v>20</v>
          </cell>
          <cell r="BK4">
            <v>0</v>
          </cell>
          <cell r="BL4">
            <v>20</v>
          </cell>
          <cell r="BM4">
            <v>60</v>
          </cell>
          <cell r="BN4">
            <v>35</v>
          </cell>
          <cell r="BO4">
            <v>70</v>
          </cell>
          <cell r="BP4">
            <v>105</v>
          </cell>
          <cell r="BQ4">
            <v>55</v>
          </cell>
          <cell r="BR4">
            <v>55</v>
          </cell>
          <cell r="BS4">
            <v>0</v>
          </cell>
          <cell r="BT4">
            <v>0</v>
          </cell>
          <cell r="BU4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>
            <v>0</v>
          </cell>
          <cell r="M5">
            <v>0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>
            <v>0</v>
          </cell>
          <cell r="S5">
            <v>0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>
            <v>0</v>
          </cell>
          <cell r="Y5">
            <v>0</v>
          </cell>
          <cell r="Z5" t="e">
            <v>#REF!</v>
          </cell>
          <cell r="AA5">
            <v>0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>
            <v>0</v>
          </cell>
          <cell r="AK5">
            <v>0</v>
          </cell>
          <cell r="AL5" t="e">
            <v>#REF!</v>
          </cell>
          <cell r="AM5">
            <v>0</v>
          </cell>
          <cell r="AN5" t="e">
            <v>#REF!</v>
          </cell>
          <cell r="AO5" t="e">
            <v>#REF!</v>
          </cell>
          <cell r="AP5" t="e">
            <v>#REF!</v>
          </cell>
          <cell r="AQ5">
            <v>0</v>
          </cell>
          <cell r="AR5">
            <v>0</v>
          </cell>
          <cell r="AS5" t="e">
            <v>#REF!</v>
          </cell>
          <cell r="AT5" t="e">
            <v>#REF!</v>
          </cell>
          <cell r="AU5" t="e">
            <v>#REF!</v>
          </cell>
          <cell r="AV5">
            <v>0</v>
          </cell>
          <cell r="AW5" t="e">
            <v>#REF!</v>
          </cell>
          <cell r="AX5">
            <v>0</v>
          </cell>
          <cell r="AY5" t="e">
            <v>#REF!</v>
          </cell>
          <cell r="AZ5">
            <v>30</v>
          </cell>
          <cell r="BA5">
            <v>50</v>
          </cell>
          <cell r="BB5">
            <v>0</v>
          </cell>
          <cell r="BC5">
            <v>20</v>
          </cell>
          <cell r="BD5">
            <v>30</v>
          </cell>
          <cell r="BE5">
            <v>30</v>
          </cell>
          <cell r="BF5">
            <v>50</v>
          </cell>
          <cell r="BG5">
            <v>30</v>
          </cell>
          <cell r="BH5">
            <v>240</v>
          </cell>
          <cell r="BI5">
            <v>0</v>
          </cell>
          <cell r="BJ5">
            <v>0</v>
          </cell>
          <cell r="BK5">
            <v>0</v>
          </cell>
          <cell r="BL5">
            <v>20</v>
          </cell>
          <cell r="BM5">
            <v>20</v>
          </cell>
          <cell r="BN5">
            <v>20</v>
          </cell>
          <cell r="BO5">
            <v>20</v>
          </cell>
          <cell r="BP5">
            <v>40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 t="e">
            <v>#REF!</v>
          </cell>
        </row>
        <row r="6"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>
            <v>0</v>
          </cell>
          <cell r="I6" t="e">
            <v>#REF!</v>
          </cell>
          <cell r="J6" t="e">
            <v>#REF!</v>
          </cell>
          <cell r="K6">
            <v>0</v>
          </cell>
          <cell r="L6" t="e">
            <v>#REF!</v>
          </cell>
          <cell r="M6">
            <v>0</v>
          </cell>
          <cell r="N6" t="e">
            <v>#REF!</v>
          </cell>
          <cell r="O6" t="e">
            <v>#REF!</v>
          </cell>
          <cell r="P6" t="e">
            <v>#REF!</v>
          </cell>
          <cell r="Q6">
            <v>0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>
            <v>0</v>
          </cell>
          <cell r="Z6" t="e">
            <v>#REF!</v>
          </cell>
          <cell r="AA6">
            <v>0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>
            <v>0</v>
          </cell>
          <cell r="AI6" t="e">
            <v>#REF!</v>
          </cell>
          <cell r="AJ6">
            <v>0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  <cell r="AQ6">
            <v>0</v>
          </cell>
          <cell r="AR6">
            <v>0</v>
          </cell>
          <cell r="AS6" t="e">
            <v>#REF!</v>
          </cell>
          <cell r="AT6" t="e">
            <v>#REF!</v>
          </cell>
          <cell r="AU6" t="e">
            <v>#REF!</v>
          </cell>
          <cell r="AV6" t="e">
            <v>#REF!</v>
          </cell>
          <cell r="AW6" t="e">
            <v>#REF!</v>
          </cell>
          <cell r="AX6" t="e">
            <v>#REF!</v>
          </cell>
          <cell r="AY6" t="e">
            <v>#REF!</v>
          </cell>
          <cell r="AZ6">
            <v>30</v>
          </cell>
          <cell r="BA6">
            <v>0</v>
          </cell>
          <cell r="BB6">
            <v>20</v>
          </cell>
          <cell r="BC6">
            <v>20</v>
          </cell>
          <cell r="BD6">
            <v>30</v>
          </cell>
          <cell r="BE6">
            <v>20</v>
          </cell>
          <cell r="BF6">
            <v>50</v>
          </cell>
          <cell r="BG6">
            <v>20</v>
          </cell>
          <cell r="BH6">
            <v>190</v>
          </cell>
          <cell r="BI6">
            <v>30</v>
          </cell>
          <cell r="BJ6">
            <v>0</v>
          </cell>
          <cell r="BK6">
            <v>0</v>
          </cell>
          <cell r="BL6">
            <v>20</v>
          </cell>
          <cell r="BM6">
            <v>50</v>
          </cell>
          <cell r="BN6">
            <v>20</v>
          </cell>
          <cell r="BO6">
            <v>20</v>
          </cell>
          <cell r="BP6">
            <v>40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 t="e">
            <v>#REF!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>
            <v>0</v>
          </cell>
          <cell r="I7" t="e">
            <v>#REF!</v>
          </cell>
          <cell r="J7">
            <v>0</v>
          </cell>
          <cell r="K7" t="e">
            <v>#REF!</v>
          </cell>
          <cell r="L7" t="e">
            <v>#REF!</v>
          </cell>
          <cell r="M7">
            <v>0</v>
          </cell>
          <cell r="N7" t="e">
            <v>#REF!</v>
          </cell>
          <cell r="O7" t="e">
            <v>#REF!</v>
          </cell>
          <cell r="P7" t="e">
            <v>#REF!</v>
          </cell>
          <cell r="Q7">
            <v>0</v>
          </cell>
          <cell r="R7">
            <v>0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>
            <v>0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>
            <v>0</v>
          </cell>
          <cell r="AH7" t="e">
            <v>#REF!</v>
          </cell>
          <cell r="AI7" t="e">
            <v>#REF!</v>
          </cell>
          <cell r="AJ7" t="e">
            <v>#REF!</v>
          </cell>
          <cell r="AK7">
            <v>0</v>
          </cell>
          <cell r="AL7" t="e">
            <v>#REF!</v>
          </cell>
          <cell r="AM7">
            <v>0</v>
          </cell>
          <cell r="AN7" t="e">
            <v>#REF!</v>
          </cell>
          <cell r="AO7" t="e">
            <v>#REF!</v>
          </cell>
          <cell r="AP7" t="e">
            <v>#REF!</v>
          </cell>
          <cell r="AQ7">
            <v>0</v>
          </cell>
          <cell r="AR7">
            <v>0</v>
          </cell>
          <cell r="AS7" t="e">
            <v>#REF!</v>
          </cell>
          <cell r="AT7" t="e">
            <v>#REF!</v>
          </cell>
          <cell r="AU7" t="e">
            <v>#REF!</v>
          </cell>
          <cell r="AV7" t="e">
            <v>#REF!</v>
          </cell>
          <cell r="AW7" t="e">
            <v>#REF!</v>
          </cell>
          <cell r="AX7" t="e">
            <v>#REF!</v>
          </cell>
          <cell r="AY7" t="e">
            <v>#REF!</v>
          </cell>
          <cell r="AZ7">
            <v>30</v>
          </cell>
          <cell r="BA7">
            <v>0</v>
          </cell>
          <cell r="BB7">
            <v>0</v>
          </cell>
          <cell r="BC7">
            <v>20</v>
          </cell>
          <cell r="BD7">
            <v>30</v>
          </cell>
          <cell r="BE7">
            <v>30</v>
          </cell>
          <cell r="BF7">
            <v>50</v>
          </cell>
          <cell r="BG7">
            <v>20</v>
          </cell>
          <cell r="BH7">
            <v>180</v>
          </cell>
          <cell r="BI7">
            <v>50</v>
          </cell>
          <cell r="BJ7">
            <v>0</v>
          </cell>
          <cell r="BK7">
            <v>0</v>
          </cell>
          <cell r="BL7">
            <v>20</v>
          </cell>
          <cell r="BM7">
            <v>70</v>
          </cell>
          <cell r="BN7">
            <v>20</v>
          </cell>
          <cell r="BO7">
            <v>20</v>
          </cell>
          <cell r="BP7">
            <v>40</v>
          </cell>
          <cell r="BQ7">
            <v>0</v>
          </cell>
          <cell r="BR7">
            <v>0</v>
          </cell>
          <cell r="BS7">
            <v>40</v>
          </cell>
          <cell r="BT7">
            <v>40</v>
          </cell>
          <cell r="BU7" t="e">
            <v>#REF!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>
            <v>0</v>
          </cell>
          <cell r="G8" t="e">
            <v>#REF!</v>
          </cell>
          <cell r="H8">
            <v>0</v>
          </cell>
          <cell r="I8">
            <v>0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0</v>
          </cell>
          <cell r="N8" t="e">
            <v>#REF!</v>
          </cell>
          <cell r="O8" t="e">
            <v>#REF!</v>
          </cell>
          <cell r="P8" t="e">
            <v>#REF!</v>
          </cell>
          <cell r="Q8">
            <v>0</v>
          </cell>
          <cell r="R8">
            <v>0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>
            <v>0</v>
          </cell>
          <cell r="Y8">
            <v>0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>
            <v>0</v>
          </cell>
          <cell r="AN8" t="e">
            <v>#REF!</v>
          </cell>
          <cell r="AO8" t="e">
            <v>#REF!</v>
          </cell>
          <cell r="AP8" t="e">
            <v>#REF!</v>
          </cell>
          <cell r="AQ8">
            <v>0</v>
          </cell>
          <cell r="AR8">
            <v>0</v>
          </cell>
          <cell r="AS8" t="e">
            <v>#REF!</v>
          </cell>
          <cell r="AT8" t="e">
            <v>#REF!</v>
          </cell>
          <cell r="AU8" t="e">
            <v>#REF!</v>
          </cell>
          <cell r="AV8" t="e">
            <v>#REF!</v>
          </cell>
          <cell r="AW8">
            <v>0</v>
          </cell>
          <cell r="AX8" t="e">
            <v>#REF!</v>
          </cell>
          <cell r="AY8" t="e">
            <v>#REF!</v>
          </cell>
          <cell r="AZ8">
            <v>30</v>
          </cell>
          <cell r="BA8">
            <v>0</v>
          </cell>
          <cell r="BB8">
            <v>20</v>
          </cell>
          <cell r="BC8">
            <v>0</v>
          </cell>
          <cell r="BD8">
            <v>30</v>
          </cell>
          <cell r="BE8">
            <v>30</v>
          </cell>
          <cell r="BF8">
            <v>50</v>
          </cell>
          <cell r="BG8">
            <v>20</v>
          </cell>
          <cell r="BH8">
            <v>180</v>
          </cell>
          <cell r="BI8">
            <v>50</v>
          </cell>
          <cell r="BJ8">
            <v>0</v>
          </cell>
          <cell r="BK8">
            <v>0</v>
          </cell>
          <cell r="BL8">
            <v>20</v>
          </cell>
          <cell r="BM8">
            <v>70</v>
          </cell>
          <cell r="BN8">
            <v>20</v>
          </cell>
          <cell r="BO8">
            <v>0</v>
          </cell>
          <cell r="BP8">
            <v>20</v>
          </cell>
          <cell r="BQ8">
            <v>55</v>
          </cell>
          <cell r="BR8">
            <v>55</v>
          </cell>
          <cell r="BS8">
            <v>20</v>
          </cell>
          <cell r="BT8">
            <v>20</v>
          </cell>
          <cell r="BU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>
            <v>0</v>
          </cell>
          <cell r="M9">
            <v>0</v>
          </cell>
          <cell r="N9" t="e">
            <v>#REF!</v>
          </cell>
          <cell r="O9" t="e">
            <v>#REF!</v>
          </cell>
          <cell r="P9" t="e">
            <v>#REF!</v>
          </cell>
          <cell r="Q9">
            <v>0</v>
          </cell>
          <cell r="R9">
            <v>0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>
            <v>0</v>
          </cell>
          <cell r="Z9" t="e">
            <v>#REF!</v>
          </cell>
          <cell r="AA9">
            <v>0</v>
          </cell>
          <cell r="AB9" t="e">
            <v>#REF!</v>
          </cell>
          <cell r="AC9" t="e">
            <v>#REF!</v>
          </cell>
          <cell r="AD9" t="e">
            <v>#REF!</v>
          </cell>
          <cell r="AE9">
            <v>0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>
            <v>0</v>
          </cell>
          <cell r="AN9" t="e">
            <v>#REF!</v>
          </cell>
          <cell r="AO9" t="e">
            <v>#REF!</v>
          </cell>
          <cell r="AP9" t="e">
            <v>#REF!</v>
          </cell>
          <cell r="AQ9">
            <v>0</v>
          </cell>
          <cell r="AR9">
            <v>0</v>
          </cell>
          <cell r="AS9" t="e">
            <v>#REF!</v>
          </cell>
          <cell r="AT9" t="e">
            <v>#REF!</v>
          </cell>
          <cell r="AU9" t="e">
            <v>#REF!</v>
          </cell>
          <cell r="AV9" t="e">
            <v>#REF!</v>
          </cell>
          <cell r="AW9">
            <v>0</v>
          </cell>
          <cell r="AX9" t="e">
            <v>#REF!</v>
          </cell>
          <cell r="AY9" t="e">
            <v>#REF!</v>
          </cell>
          <cell r="AZ9">
            <v>30</v>
          </cell>
          <cell r="BA9">
            <v>60</v>
          </cell>
          <cell r="BB9">
            <v>0</v>
          </cell>
          <cell r="BC9">
            <v>20</v>
          </cell>
          <cell r="BD9">
            <v>50</v>
          </cell>
          <cell r="BE9">
            <v>30</v>
          </cell>
          <cell r="BF9">
            <v>30</v>
          </cell>
          <cell r="BG9">
            <v>20</v>
          </cell>
          <cell r="BH9">
            <v>240</v>
          </cell>
          <cell r="BI9">
            <v>50</v>
          </cell>
          <cell r="BJ9">
            <v>0</v>
          </cell>
          <cell r="BK9">
            <v>0</v>
          </cell>
          <cell r="BL9">
            <v>20</v>
          </cell>
          <cell r="BM9">
            <v>70</v>
          </cell>
          <cell r="BN9">
            <v>0</v>
          </cell>
          <cell r="BO9">
            <v>20</v>
          </cell>
          <cell r="BP9">
            <v>20</v>
          </cell>
          <cell r="BQ9">
            <v>55</v>
          </cell>
          <cell r="BR9">
            <v>55</v>
          </cell>
          <cell r="BS9">
            <v>60</v>
          </cell>
          <cell r="BT9">
            <v>60</v>
          </cell>
          <cell r="BU9" t="e">
            <v>#REF!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>
            <v>0</v>
          </cell>
          <cell r="G10" t="e">
            <v>#REF!</v>
          </cell>
          <cell r="H10">
            <v>0</v>
          </cell>
          <cell r="I10" t="e">
            <v>#REF!</v>
          </cell>
          <cell r="J10" t="e">
            <v>#REF!</v>
          </cell>
          <cell r="K10" t="e">
            <v>#REF!</v>
          </cell>
          <cell r="L10">
            <v>0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>
            <v>0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>
            <v>0</v>
          </cell>
          <cell r="Y10">
            <v>0</v>
          </cell>
          <cell r="Z10" t="e">
            <v>#REF!</v>
          </cell>
          <cell r="AA10" t="e">
            <v>#REF!</v>
          </cell>
          <cell r="AB10">
            <v>0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 t="e">
            <v>#REF!</v>
          </cell>
          <cell r="AO10" t="e">
            <v>#REF!</v>
          </cell>
          <cell r="AP10" t="e">
            <v>#REF!</v>
          </cell>
          <cell r="AQ10">
            <v>0</v>
          </cell>
          <cell r="AR10" t="e">
            <v>#REF!</v>
          </cell>
          <cell r="AS10" t="e">
            <v>#REF!</v>
          </cell>
          <cell r="AT10" t="e">
            <v>#REF!</v>
          </cell>
          <cell r="AU10" t="e">
            <v>#REF!</v>
          </cell>
          <cell r="AV10" t="e">
            <v>#REF!</v>
          </cell>
          <cell r="AW10">
            <v>0</v>
          </cell>
          <cell r="AX10" t="e">
            <v>#REF!</v>
          </cell>
          <cell r="AY10" t="e">
            <v>#REF!</v>
          </cell>
          <cell r="AZ10">
            <v>30</v>
          </cell>
          <cell r="BA10">
            <v>20</v>
          </cell>
          <cell r="BB10">
            <v>0</v>
          </cell>
          <cell r="BC10">
            <v>20</v>
          </cell>
          <cell r="BD10">
            <v>60</v>
          </cell>
          <cell r="BE10">
            <v>50</v>
          </cell>
          <cell r="BF10">
            <v>30</v>
          </cell>
          <cell r="BG10">
            <v>20</v>
          </cell>
          <cell r="BH10">
            <v>230</v>
          </cell>
          <cell r="BI10">
            <v>50</v>
          </cell>
          <cell r="BJ10">
            <v>20</v>
          </cell>
          <cell r="BK10">
            <v>0</v>
          </cell>
          <cell r="BL10">
            <v>0</v>
          </cell>
          <cell r="BM10">
            <v>70</v>
          </cell>
          <cell r="BN10">
            <v>20</v>
          </cell>
          <cell r="BO10">
            <v>70</v>
          </cell>
          <cell r="BP10">
            <v>90</v>
          </cell>
          <cell r="BQ10">
            <v>0</v>
          </cell>
          <cell r="BR10">
            <v>0</v>
          </cell>
          <cell r="BS10">
            <v>20</v>
          </cell>
          <cell r="BT10">
            <v>20</v>
          </cell>
          <cell r="BU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>
            <v>0</v>
          </cell>
          <cell r="G11" t="e">
            <v>#REF!</v>
          </cell>
          <cell r="H11">
            <v>0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0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>
            <v>0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>
            <v>0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>
            <v>0</v>
          </cell>
          <cell r="AJ11">
            <v>0</v>
          </cell>
          <cell r="AK11" t="e">
            <v>#REF!</v>
          </cell>
          <cell r="AL11">
            <v>0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>
            <v>0</v>
          </cell>
          <cell r="AR11">
            <v>0</v>
          </cell>
          <cell r="AS11" t="e">
            <v>#REF!</v>
          </cell>
          <cell r="AT11">
            <v>0</v>
          </cell>
          <cell r="AU11" t="e">
            <v>#REF!</v>
          </cell>
          <cell r="AV11" t="e">
            <v>#REF!</v>
          </cell>
          <cell r="AW11" t="e">
            <v>#REF!</v>
          </cell>
          <cell r="AX11" t="e">
            <v>#REF!</v>
          </cell>
          <cell r="AY11" t="e">
            <v>#REF!</v>
          </cell>
          <cell r="AZ11">
            <v>30</v>
          </cell>
          <cell r="BA11">
            <v>0</v>
          </cell>
          <cell r="BB11">
            <v>0</v>
          </cell>
          <cell r="BC11">
            <v>20</v>
          </cell>
          <cell r="BD11">
            <v>30</v>
          </cell>
          <cell r="BE11">
            <v>30</v>
          </cell>
          <cell r="BF11">
            <v>50</v>
          </cell>
          <cell r="BG11">
            <v>20</v>
          </cell>
          <cell r="BH11">
            <v>180</v>
          </cell>
          <cell r="BI11">
            <v>0</v>
          </cell>
          <cell r="BJ11">
            <v>0</v>
          </cell>
          <cell r="BK11">
            <v>0</v>
          </cell>
          <cell r="BL11">
            <v>20</v>
          </cell>
          <cell r="BM11">
            <v>20</v>
          </cell>
          <cell r="BN11">
            <v>0</v>
          </cell>
          <cell r="BO11">
            <v>20</v>
          </cell>
          <cell r="BP11">
            <v>20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 t="e">
            <v>#REF!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>
            <v>0</v>
          </cell>
          <cell r="G12" t="e">
            <v>#REF!</v>
          </cell>
          <cell r="H12">
            <v>0</v>
          </cell>
          <cell r="I12" t="e">
            <v>#REF!</v>
          </cell>
          <cell r="J12">
            <v>0</v>
          </cell>
          <cell r="K12" t="e">
            <v>#REF!</v>
          </cell>
          <cell r="L12">
            <v>0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>
            <v>0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>
            <v>0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0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>
            <v>0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>
            <v>0</v>
          </cell>
          <cell r="AR12">
            <v>0</v>
          </cell>
          <cell r="AS12" t="e">
            <v>#REF!</v>
          </cell>
          <cell r="AT12" t="e">
            <v>#REF!</v>
          </cell>
          <cell r="AU12" t="e">
            <v>#REF!</v>
          </cell>
          <cell r="AV12" t="e">
            <v>#REF!</v>
          </cell>
          <cell r="AW12" t="e">
            <v>#REF!</v>
          </cell>
          <cell r="AX12" t="e">
            <v>#REF!</v>
          </cell>
          <cell r="AY12" t="e">
            <v>#REF!</v>
          </cell>
          <cell r="AZ12">
            <v>0</v>
          </cell>
          <cell r="BA12">
            <v>50</v>
          </cell>
          <cell r="BB12">
            <v>20</v>
          </cell>
          <cell r="BC12">
            <v>0</v>
          </cell>
          <cell r="BD12">
            <v>60</v>
          </cell>
          <cell r="BE12">
            <v>0</v>
          </cell>
          <cell r="BF12">
            <v>60</v>
          </cell>
          <cell r="BG12">
            <v>30</v>
          </cell>
          <cell r="BH12">
            <v>220</v>
          </cell>
          <cell r="BI12">
            <v>0</v>
          </cell>
          <cell r="BJ12">
            <v>20</v>
          </cell>
          <cell r="BK12">
            <v>0</v>
          </cell>
          <cell r="BL12">
            <v>20</v>
          </cell>
          <cell r="BM12">
            <v>40</v>
          </cell>
          <cell r="BN12">
            <v>0</v>
          </cell>
          <cell r="BO12">
            <v>20</v>
          </cell>
          <cell r="BP12">
            <v>20</v>
          </cell>
          <cell r="BQ12">
            <v>0</v>
          </cell>
          <cell r="BR12">
            <v>0</v>
          </cell>
          <cell r="BS12">
            <v>20</v>
          </cell>
          <cell r="BT12">
            <v>20</v>
          </cell>
          <cell r="BU12" t="e">
            <v>#REF!</v>
          </cell>
        </row>
        <row r="13">
          <cell r="C13" t="e">
            <v>#REF!</v>
          </cell>
          <cell r="D13" t="e">
            <v>#REF!</v>
          </cell>
          <cell r="E13">
            <v>0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>
            <v>0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>
            <v>0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>
            <v>0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>
            <v>0</v>
          </cell>
          <cell r="AI13">
            <v>0</v>
          </cell>
          <cell r="AJ13">
            <v>0</v>
          </cell>
          <cell r="AK13" t="e">
            <v>#REF!</v>
          </cell>
          <cell r="AL13">
            <v>0</v>
          </cell>
          <cell r="AM13" t="e">
            <v>#REF!</v>
          </cell>
          <cell r="AN13">
            <v>0</v>
          </cell>
          <cell r="AO13" t="e">
            <v>#REF!</v>
          </cell>
          <cell r="AP13" t="e">
            <v>#REF!</v>
          </cell>
          <cell r="AQ13">
            <v>0</v>
          </cell>
          <cell r="AR13">
            <v>0</v>
          </cell>
          <cell r="AS13" t="e">
            <v>#REF!</v>
          </cell>
          <cell r="AT13" t="e">
            <v>#REF!</v>
          </cell>
          <cell r="AU13" t="e">
            <v>#REF!</v>
          </cell>
          <cell r="AV13" t="e">
            <v>#REF!</v>
          </cell>
          <cell r="AW13" t="e">
            <v>#REF!</v>
          </cell>
          <cell r="AX13">
            <v>0</v>
          </cell>
          <cell r="AY13" t="e">
            <v>#REF!</v>
          </cell>
          <cell r="AZ13">
            <v>30</v>
          </cell>
          <cell r="BA13">
            <v>20</v>
          </cell>
          <cell r="BB13">
            <v>20</v>
          </cell>
          <cell r="BC13">
            <v>30</v>
          </cell>
          <cell r="BD13">
            <v>50</v>
          </cell>
          <cell r="BE13">
            <v>30</v>
          </cell>
          <cell r="BF13">
            <v>20</v>
          </cell>
          <cell r="BG13">
            <v>30</v>
          </cell>
          <cell r="BH13">
            <v>230</v>
          </cell>
          <cell r="BI13">
            <v>50</v>
          </cell>
          <cell r="BJ13">
            <v>0</v>
          </cell>
          <cell r="BK13">
            <v>0</v>
          </cell>
          <cell r="BL13">
            <v>0</v>
          </cell>
          <cell r="BM13">
            <v>50</v>
          </cell>
          <cell r="BN13">
            <v>20</v>
          </cell>
          <cell r="BO13">
            <v>70</v>
          </cell>
          <cell r="BP13">
            <v>90</v>
          </cell>
          <cell r="BQ13">
            <v>20</v>
          </cell>
          <cell r="BR13">
            <v>20</v>
          </cell>
          <cell r="BS13">
            <v>40</v>
          </cell>
          <cell r="BT13">
            <v>40</v>
          </cell>
          <cell r="BU13" t="e">
            <v>#REF!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>
            <v>0</v>
          </cell>
          <cell r="I14" t="e">
            <v>#REF!</v>
          </cell>
          <cell r="J14">
            <v>0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>
            <v>0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>
            <v>0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>
            <v>0</v>
          </cell>
          <cell r="AF14" t="e">
            <v>#REF!</v>
          </cell>
          <cell r="AG14" t="e">
            <v>#REF!</v>
          </cell>
          <cell r="AH14">
            <v>0</v>
          </cell>
          <cell r="AI14">
            <v>0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>
            <v>0</v>
          </cell>
          <cell r="AO14" t="e">
            <v>#REF!</v>
          </cell>
          <cell r="AP14" t="e">
            <v>#REF!</v>
          </cell>
          <cell r="AQ14">
            <v>0</v>
          </cell>
          <cell r="AR14">
            <v>0</v>
          </cell>
          <cell r="AS14" t="e">
            <v>#REF!</v>
          </cell>
          <cell r="AT14" t="e">
            <v>#REF!</v>
          </cell>
          <cell r="AU14" t="e">
            <v>#REF!</v>
          </cell>
          <cell r="AV14" t="e">
            <v>#REF!</v>
          </cell>
          <cell r="AW14" t="e">
            <v>#REF!</v>
          </cell>
          <cell r="AX14" t="e">
            <v>#REF!</v>
          </cell>
          <cell r="AY14" t="e">
            <v>#REF!</v>
          </cell>
          <cell r="AZ14">
            <v>30</v>
          </cell>
          <cell r="BA14">
            <v>20</v>
          </cell>
          <cell r="BB14">
            <v>0</v>
          </cell>
          <cell r="BC14">
            <v>0</v>
          </cell>
          <cell r="BD14">
            <v>30</v>
          </cell>
          <cell r="BE14">
            <v>0</v>
          </cell>
          <cell r="BF14">
            <v>30</v>
          </cell>
          <cell r="BG14">
            <v>20</v>
          </cell>
          <cell r="BH14">
            <v>130</v>
          </cell>
          <cell r="BI14">
            <v>30</v>
          </cell>
          <cell r="BJ14">
            <v>0</v>
          </cell>
          <cell r="BK14">
            <v>50</v>
          </cell>
          <cell r="BL14">
            <v>60</v>
          </cell>
          <cell r="BM14">
            <v>140</v>
          </cell>
          <cell r="BN14">
            <v>20</v>
          </cell>
          <cell r="BO14">
            <v>35</v>
          </cell>
          <cell r="BP14">
            <v>55</v>
          </cell>
          <cell r="BQ14">
            <v>0</v>
          </cell>
          <cell r="BR14">
            <v>0</v>
          </cell>
          <cell r="BS14">
            <v>40</v>
          </cell>
          <cell r="BT14">
            <v>40</v>
          </cell>
          <cell r="BU14" t="e">
            <v>#REF!</v>
          </cell>
        </row>
        <row r="15">
          <cell r="C15" t="e">
            <v>#REF!</v>
          </cell>
          <cell r="D15" t="e">
            <v>#REF!</v>
          </cell>
          <cell r="E15">
            <v>0</v>
          </cell>
          <cell r="F15">
            <v>0</v>
          </cell>
          <cell r="G15" t="e">
            <v>#REF!</v>
          </cell>
          <cell r="H15">
            <v>0</v>
          </cell>
          <cell r="I15" t="e">
            <v>#REF!</v>
          </cell>
          <cell r="J15" t="e">
            <v>#REF!</v>
          </cell>
          <cell r="K15">
            <v>0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>
            <v>0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>
            <v>0</v>
          </cell>
          <cell r="AJ15" t="e">
            <v>#REF!</v>
          </cell>
          <cell r="AK15" t="e">
            <v>#REF!</v>
          </cell>
          <cell r="AL15">
            <v>0</v>
          </cell>
          <cell r="AM15">
            <v>0</v>
          </cell>
          <cell r="AN15" t="e">
            <v>#REF!</v>
          </cell>
          <cell r="AO15" t="e">
            <v>#REF!</v>
          </cell>
          <cell r="AP15" t="e">
            <v>#REF!</v>
          </cell>
          <cell r="AQ15">
            <v>0</v>
          </cell>
          <cell r="AR15">
            <v>0</v>
          </cell>
          <cell r="AS15" t="e">
            <v>#REF!</v>
          </cell>
          <cell r="AT15" t="e">
            <v>#REF!</v>
          </cell>
          <cell r="AU15" t="e">
            <v>#REF!</v>
          </cell>
          <cell r="AV15" t="e">
            <v>#REF!</v>
          </cell>
          <cell r="AW15" t="e">
            <v>#REF!</v>
          </cell>
          <cell r="AX15">
            <v>0</v>
          </cell>
          <cell r="AY15" t="e">
            <v>#REF!</v>
          </cell>
          <cell r="AZ15">
            <v>30</v>
          </cell>
          <cell r="BA15">
            <v>0</v>
          </cell>
          <cell r="BB15">
            <v>20</v>
          </cell>
          <cell r="BC15">
            <v>30</v>
          </cell>
          <cell r="BD15">
            <v>60</v>
          </cell>
          <cell r="BE15">
            <v>50</v>
          </cell>
          <cell r="BF15">
            <v>50</v>
          </cell>
          <cell r="BG15">
            <v>20</v>
          </cell>
          <cell r="BH15">
            <v>260</v>
          </cell>
          <cell r="BI15">
            <v>50</v>
          </cell>
          <cell r="BJ15">
            <v>30</v>
          </cell>
          <cell r="BK15">
            <v>50</v>
          </cell>
          <cell r="BL15">
            <v>0</v>
          </cell>
          <cell r="BM15">
            <v>130</v>
          </cell>
          <cell r="BN15">
            <v>20</v>
          </cell>
          <cell r="BO15">
            <v>0</v>
          </cell>
          <cell r="BP15">
            <v>20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 t="e">
            <v>#REF!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>
            <v>0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>
            <v>0</v>
          </cell>
          <cell r="L16" t="e">
            <v>#REF!</v>
          </cell>
          <cell r="M16">
            <v>0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>
            <v>0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>
            <v>0</v>
          </cell>
          <cell r="Z16" t="e">
            <v>#REF!</v>
          </cell>
          <cell r="AA16">
            <v>0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 t="e">
            <v>#REF!</v>
          </cell>
          <cell r="AO16" t="e">
            <v>#REF!</v>
          </cell>
          <cell r="AP16" t="e">
            <v>#REF!</v>
          </cell>
          <cell r="AQ16">
            <v>0</v>
          </cell>
          <cell r="AR16" t="e">
            <v>#REF!</v>
          </cell>
          <cell r="AS16" t="e">
            <v>#REF!</v>
          </cell>
          <cell r="AT16">
            <v>0</v>
          </cell>
          <cell r="AU16" t="e">
            <v>#REF!</v>
          </cell>
          <cell r="AV16" t="e">
            <v>#REF!</v>
          </cell>
          <cell r="AW16">
            <v>0</v>
          </cell>
          <cell r="AX16" t="e">
            <v>#REF!</v>
          </cell>
          <cell r="AY16" t="e">
            <v>#REF!</v>
          </cell>
          <cell r="AZ16">
            <v>0</v>
          </cell>
          <cell r="BA16">
            <v>0</v>
          </cell>
          <cell r="BB16">
            <v>30</v>
          </cell>
          <cell r="BC16">
            <v>0</v>
          </cell>
          <cell r="BD16">
            <v>50</v>
          </cell>
          <cell r="BE16">
            <v>50</v>
          </cell>
          <cell r="BF16">
            <v>50</v>
          </cell>
          <cell r="BG16">
            <v>20</v>
          </cell>
          <cell r="BH16">
            <v>200</v>
          </cell>
          <cell r="BI16">
            <v>0</v>
          </cell>
          <cell r="BJ16">
            <v>20</v>
          </cell>
          <cell r="BK16">
            <v>0</v>
          </cell>
          <cell r="BL16">
            <v>30</v>
          </cell>
          <cell r="BM16">
            <v>50</v>
          </cell>
          <cell r="BN16">
            <v>20</v>
          </cell>
          <cell r="BO16">
            <v>35</v>
          </cell>
          <cell r="BP16">
            <v>55</v>
          </cell>
          <cell r="BQ16">
            <v>35</v>
          </cell>
          <cell r="BR16">
            <v>35</v>
          </cell>
          <cell r="BS16">
            <v>40</v>
          </cell>
          <cell r="BT16">
            <v>40</v>
          </cell>
          <cell r="BU16" t="e">
            <v>#REF!</v>
          </cell>
        </row>
        <row r="17">
          <cell r="C17" t="e">
            <v>#REF!</v>
          </cell>
          <cell r="D17" t="e">
            <v>#REF!</v>
          </cell>
          <cell r="E17">
            <v>0</v>
          </cell>
          <cell r="F17">
            <v>0</v>
          </cell>
          <cell r="G17" t="e">
            <v>#REF!</v>
          </cell>
          <cell r="H17">
            <v>0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0</v>
          </cell>
          <cell r="N17" t="e">
            <v>#REF!</v>
          </cell>
          <cell r="O17" t="e">
            <v>#REF!</v>
          </cell>
          <cell r="P17" t="e">
            <v>#REF!</v>
          </cell>
          <cell r="Q17">
            <v>0</v>
          </cell>
          <cell r="R17">
            <v>0</v>
          </cell>
          <cell r="S17">
            <v>0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>
            <v>0</v>
          </cell>
          <cell r="Z17" t="e">
            <v>#REF!</v>
          </cell>
          <cell r="AA17" t="e">
            <v>#REF!</v>
          </cell>
          <cell r="AB17">
            <v>0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 t="e">
            <v>#REF!</v>
          </cell>
          <cell r="AO17" t="e">
            <v>#REF!</v>
          </cell>
          <cell r="AP17" t="e">
            <v>#REF!</v>
          </cell>
          <cell r="AQ17">
            <v>0</v>
          </cell>
          <cell r="AR17" t="e">
            <v>#REF!</v>
          </cell>
          <cell r="AS17" t="e">
            <v>#REF!</v>
          </cell>
          <cell r="AT17">
            <v>0</v>
          </cell>
          <cell r="AU17" t="e">
            <v>#REF!</v>
          </cell>
          <cell r="AV17" t="e">
            <v>#REF!</v>
          </cell>
          <cell r="AW17">
            <v>0</v>
          </cell>
          <cell r="AX17" t="e">
            <v>#REF!</v>
          </cell>
          <cell r="AY17" t="e">
            <v>#REF!</v>
          </cell>
          <cell r="AZ17">
            <v>30</v>
          </cell>
          <cell r="BA17">
            <v>50</v>
          </cell>
          <cell r="BB17">
            <v>0</v>
          </cell>
          <cell r="BC17">
            <v>20</v>
          </cell>
          <cell r="BD17">
            <v>50</v>
          </cell>
          <cell r="BE17">
            <v>30</v>
          </cell>
          <cell r="BF17">
            <v>50</v>
          </cell>
          <cell r="BG17">
            <v>0</v>
          </cell>
          <cell r="BH17">
            <v>230</v>
          </cell>
          <cell r="BI17">
            <v>20</v>
          </cell>
          <cell r="BJ17">
            <v>0</v>
          </cell>
          <cell r="BK17">
            <v>20</v>
          </cell>
          <cell r="BL17">
            <v>60</v>
          </cell>
          <cell r="BM17">
            <v>100</v>
          </cell>
          <cell r="BN17">
            <v>0</v>
          </cell>
          <cell r="BO17">
            <v>70</v>
          </cell>
          <cell r="BP17">
            <v>70</v>
          </cell>
          <cell r="BQ17">
            <v>70</v>
          </cell>
          <cell r="BR17">
            <v>70</v>
          </cell>
          <cell r="BS17">
            <v>40</v>
          </cell>
          <cell r="BT17">
            <v>40</v>
          </cell>
          <cell r="BU17" t="e">
            <v>#REF!</v>
          </cell>
        </row>
        <row r="18">
          <cell r="C18" t="e">
            <v>#REF!</v>
          </cell>
          <cell r="D18" t="e">
            <v>#REF!</v>
          </cell>
          <cell r="E18">
            <v>0</v>
          </cell>
          <cell r="F18">
            <v>0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>
            <v>0</v>
          </cell>
          <cell r="L18" t="e">
            <v>#REF!</v>
          </cell>
          <cell r="M18">
            <v>0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 t="e">
            <v>#REF!</v>
          </cell>
          <cell r="AO18">
            <v>0</v>
          </cell>
          <cell r="AP18" t="e">
            <v>#REF!</v>
          </cell>
          <cell r="AQ18">
            <v>0</v>
          </cell>
          <cell r="AR18">
            <v>0</v>
          </cell>
          <cell r="AS18" t="e">
            <v>#REF!</v>
          </cell>
          <cell r="AT18" t="e">
            <v>#REF!</v>
          </cell>
          <cell r="AU18" t="e">
            <v>#REF!</v>
          </cell>
          <cell r="AV18" t="e">
            <v>#REF!</v>
          </cell>
          <cell r="AW18" t="e">
            <v>#REF!</v>
          </cell>
          <cell r="AX18">
            <v>0</v>
          </cell>
          <cell r="AY18" t="e">
            <v>#REF!</v>
          </cell>
          <cell r="AZ18">
            <v>50</v>
          </cell>
          <cell r="BA18">
            <v>30</v>
          </cell>
          <cell r="BB18">
            <v>0</v>
          </cell>
          <cell r="BC18">
            <v>0</v>
          </cell>
          <cell r="BD18">
            <v>30</v>
          </cell>
          <cell r="BE18">
            <v>20</v>
          </cell>
          <cell r="BF18">
            <v>50</v>
          </cell>
          <cell r="BG18">
            <v>20</v>
          </cell>
          <cell r="BH18">
            <v>200</v>
          </cell>
          <cell r="BI18">
            <v>0</v>
          </cell>
          <cell r="BJ18">
            <v>0</v>
          </cell>
          <cell r="BK18">
            <v>0</v>
          </cell>
          <cell r="BL18">
            <v>20</v>
          </cell>
          <cell r="BM18">
            <v>20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>
            <v>0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>
            <v>0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>
            <v>0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>
            <v>0</v>
          </cell>
          <cell r="AJ19" t="e">
            <v>#REF!</v>
          </cell>
          <cell r="AK19" t="e">
            <v>#REF!</v>
          </cell>
          <cell r="AL19" t="e">
            <v>#REF!</v>
          </cell>
          <cell r="AM19">
            <v>0</v>
          </cell>
          <cell r="AN19" t="e">
            <v>#REF!</v>
          </cell>
          <cell r="AO19" t="e">
            <v>#REF!</v>
          </cell>
          <cell r="AP19" t="e">
            <v>#REF!</v>
          </cell>
          <cell r="AQ19">
            <v>0</v>
          </cell>
          <cell r="AR19">
            <v>0</v>
          </cell>
          <cell r="AS19" t="e">
            <v>#REF!</v>
          </cell>
          <cell r="AT19">
            <v>0</v>
          </cell>
          <cell r="AU19" t="e">
            <v>#REF!</v>
          </cell>
          <cell r="AV19" t="e">
            <v>#REF!</v>
          </cell>
          <cell r="AW19" t="e">
            <v>#REF!</v>
          </cell>
          <cell r="AX19" t="e">
            <v>#REF!</v>
          </cell>
          <cell r="AY19" t="e">
            <v>#REF!</v>
          </cell>
          <cell r="AZ19">
            <v>0</v>
          </cell>
          <cell r="BA19">
            <v>60</v>
          </cell>
          <cell r="BB19">
            <v>20</v>
          </cell>
          <cell r="BC19">
            <v>0</v>
          </cell>
          <cell r="BD19">
            <v>50</v>
          </cell>
          <cell r="BE19">
            <v>20</v>
          </cell>
          <cell r="BF19">
            <v>30</v>
          </cell>
          <cell r="BG19">
            <v>20</v>
          </cell>
          <cell r="BH19">
            <v>200</v>
          </cell>
          <cell r="BI19">
            <v>50</v>
          </cell>
          <cell r="BJ19">
            <v>0</v>
          </cell>
          <cell r="BK19">
            <v>0</v>
          </cell>
          <cell r="BL19">
            <v>0</v>
          </cell>
          <cell r="BM19">
            <v>50</v>
          </cell>
          <cell r="BN19">
            <v>20</v>
          </cell>
          <cell r="BO19">
            <v>20</v>
          </cell>
          <cell r="BP19">
            <v>40</v>
          </cell>
          <cell r="BQ19">
            <v>0</v>
          </cell>
          <cell r="BR19">
            <v>0</v>
          </cell>
          <cell r="BS19">
            <v>20</v>
          </cell>
          <cell r="BT19">
            <v>20</v>
          </cell>
          <cell r="BU19" t="e">
            <v>#REF!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>
            <v>0</v>
          </cell>
          <cell r="G20" t="e">
            <v>#REF!</v>
          </cell>
          <cell r="H20">
            <v>0</v>
          </cell>
          <cell r="I20" t="e">
            <v>#REF!</v>
          </cell>
          <cell r="J20">
            <v>0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>
            <v>0</v>
          </cell>
          <cell r="R20">
            <v>0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>
            <v>0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>
            <v>0</v>
          </cell>
          <cell r="AK20">
            <v>0</v>
          </cell>
          <cell r="AL20" t="e">
            <v>#REF!</v>
          </cell>
          <cell r="AM20" t="e">
            <v>#REF!</v>
          </cell>
          <cell r="AN20">
            <v>0</v>
          </cell>
          <cell r="AO20" t="e">
            <v>#REF!</v>
          </cell>
          <cell r="AP20" t="e">
            <v>#REF!</v>
          </cell>
          <cell r="AQ20">
            <v>0</v>
          </cell>
          <cell r="AR20">
            <v>0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  <cell r="AW20">
            <v>0</v>
          </cell>
          <cell r="AX20" t="e">
            <v>#REF!</v>
          </cell>
          <cell r="AY20" t="e">
            <v>#REF!</v>
          </cell>
          <cell r="AZ20">
            <v>30</v>
          </cell>
          <cell r="BA20">
            <v>20</v>
          </cell>
          <cell r="BB20">
            <v>20</v>
          </cell>
          <cell r="BC20">
            <v>20</v>
          </cell>
          <cell r="BD20">
            <v>30</v>
          </cell>
          <cell r="BE20">
            <v>0</v>
          </cell>
          <cell r="BF20">
            <v>30</v>
          </cell>
          <cell r="BG20">
            <v>60</v>
          </cell>
          <cell r="BH20">
            <v>210</v>
          </cell>
          <cell r="BI20">
            <v>50</v>
          </cell>
          <cell r="BJ20">
            <v>20</v>
          </cell>
          <cell r="BK20">
            <v>0</v>
          </cell>
          <cell r="BL20">
            <v>20</v>
          </cell>
          <cell r="BM20">
            <v>90</v>
          </cell>
          <cell r="BN20">
            <v>20</v>
          </cell>
          <cell r="BO20">
            <v>70</v>
          </cell>
          <cell r="BP20">
            <v>90</v>
          </cell>
          <cell r="BQ20">
            <v>0</v>
          </cell>
          <cell r="BR20">
            <v>0</v>
          </cell>
          <cell r="BS20">
            <v>20</v>
          </cell>
          <cell r="BT20">
            <v>20</v>
          </cell>
          <cell r="BU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>
            <v>0</v>
          </cell>
          <cell r="M21">
            <v>0</v>
          </cell>
          <cell r="N21" t="e">
            <v>#REF!</v>
          </cell>
          <cell r="O21" t="e">
            <v>#REF!</v>
          </cell>
          <cell r="P21" t="e">
            <v>#REF!</v>
          </cell>
          <cell r="Q21">
            <v>0</v>
          </cell>
          <cell r="R21">
            <v>0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>
            <v>0</v>
          </cell>
          <cell r="Z21" t="e">
            <v>#REF!</v>
          </cell>
          <cell r="AA21">
            <v>0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>
            <v>0</v>
          </cell>
          <cell r="AI21">
            <v>0</v>
          </cell>
          <cell r="AJ21">
            <v>0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  <cell r="AQ21">
            <v>0</v>
          </cell>
          <cell r="AR21">
            <v>0</v>
          </cell>
          <cell r="AS21" t="e">
            <v>#REF!</v>
          </cell>
          <cell r="AT21" t="e">
            <v>#REF!</v>
          </cell>
          <cell r="AU21" t="e">
            <v>#REF!</v>
          </cell>
          <cell r="AV21" t="e">
            <v>#REF!</v>
          </cell>
          <cell r="AW21">
            <v>0</v>
          </cell>
          <cell r="AX21" t="e">
            <v>#REF!</v>
          </cell>
          <cell r="AY21" t="e">
            <v>#REF!</v>
          </cell>
          <cell r="AZ21">
            <v>30</v>
          </cell>
          <cell r="BA21">
            <v>20</v>
          </cell>
          <cell r="BB21">
            <v>0</v>
          </cell>
          <cell r="BC21">
            <v>20</v>
          </cell>
          <cell r="BD21">
            <v>30</v>
          </cell>
          <cell r="BE21">
            <v>0</v>
          </cell>
          <cell r="BF21">
            <v>50</v>
          </cell>
          <cell r="BG21">
            <v>20</v>
          </cell>
          <cell r="BH21">
            <v>170</v>
          </cell>
          <cell r="BI21">
            <v>50</v>
          </cell>
          <cell r="BJ21">
            <v>0</v>
          </cell>
          <cell r="BK21">
            <v>0</v>
          </cell>
          <cell r="BL21">
            <v>20</v>
          </cell>
          <cell r="BM21">
            <v>70</v>
          </cell>
          <cell r="BN21">
            <v>20</v>
          </cell>
          <cell r="BO21">
            <v>20</v>
          </cell>
          <cell r="BP21">
            <v>40</v>
          </cell>
          <cell r="BQ21">
            <v>0</v>
          </cell>
          <cell r="BR21">
            <v>0</v>
          </cell>
          <cell r="BS21">
            <v>20</v>
          </cell>
          <cell r="BT21">
            <v>20</v>
          </cell>
          <cell r="BU21" t="e">
            <v>#REF!</v>
          </cell>
        </row>
        <row r="22">
          <cell r="C22" t="e">
            <v>#REF!</v>
          </cell>
          <cell r="D22" t="e">
            <v>#REF!</v>
          </cell>
          <cell r="E22">
            <v>0</v>
          </cell>
          <cell r="F22" t="e">
            <v>#REF!</v>
          </cell>
          <cell r="G22" t="e">
            <v>#REF!</v>
          </cell>
          <cell r="H22">
            <v>0</v>
          </cell>
          <cell r="I22">
            <v>0</v>
          </cell>
          <cell r="J22" t="e">
            <v>#REF!</v>
          </cell>
          <cell r="K22">
            <v>0</v>
          </cell>
          <cell r="L22">
            <v>0</v>
          </cell>
          <cell r="M22">
            <v>0</v>
          </cell>
          <cell r="N22" t="e">
            <v>#REF!</v>
          </cell>
          <cell r="O22" t="e">
            <v>#REF!</v>
          </cell>
          <cell r="P22" t="e">
            <v>#REF!</v>
          </cell>
          <cell r="Q22">
            <v>0</v>
          </cell>
          <cell r="R22">
            <v>0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>
            <v>0</v>
          </cell>
          <cell r="Y22">
            <v>0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>
            <v>0</v>
          </cell>
          <cell r="AK22" t="e">
            <v>#REF!</v>
          </cell>
          <cell r="AL22">
            <v>0</v>
          </cell>
          <cell r="AM22">
            <v>0</v>
          </cell>
          <cell r="AN22" t="e">
            <v>#REF!</v>
          </cell>
          <cell r="AO22" t="e">
            <v>#REF!</v>
          </cell>
          <cell r="AP22" t="e">
            <v>#REF!</v>
          </cell>
          <cell r="AQ22">
            <v>0</v>
          </cell>
          <cell r="AR22">
            <v>0</v>
          </cell>
          <cell r="AS22" t="e">
            <v>#REF!</v>
          </cell>
          <cell r="AT22" t="e">
            <v>#REF!</v>
          </cell>
          <cell r="AU22" t="e">
            <v>#REF!</v>
          </cell>
          <cell r="AV22" t="e">
            <v>#REF!</v>
          </cell>
          <cell r="AW22" t="e">
            <v>#REF!</v>
          </cell>
          <cell r="AX22">
            <v>0</v>
          </cell>
          <cell r="AY22" t="e">
            <v>#REF!</v>
          </cell>
          <cell r="AZ22">
            <v>30</v>
          </cell>
          <cell r="BA22">
            <v>60</v>
          </cell>
          <cell r="BB22">
            <v>0</v>
          </cell>
          <cell r="BC22">
            <v>20</v>
          </cell>
          <cell r="BD22">
            <v>50</v>
          </cell>
          <cell r="BE22">
            <v>30</v>
          </cell>
          <cell r="BF22">
            <v>50</v>
          </cell>
          <cell r="BG22">
            <v>20</v>
          </cell>
          <cell r="BH22">
            <v>260</v>
          </cell>
          <cell r="BI22">
            <v>0</v>
          </cell>
          <cell r="BJ22">
            <v>0</v>
          </cell>
          <cell r="BK22">
            <v>0</v>
          </cell>
          <cell r="BL22">
            <v>20</v>
          </cell>
          <cell r="BM22">
            <v>20</v>
          </cell>
          <cell r="BN22">
            <v>0</v>
          </cell>
          <cell r="BO22">
            <v>20</v>
          </cell>
          <cell r="BP22">
            <v>20</v>
          </cell>
          <cell r="BQ22">
            <v>0</v>
          </cell>
          <cell r="BR22">
            <v>0</v>
          </cell>
          <cell r="BS22">
            <v>20</v>
          </cell>
          <cell r="BT22">
            <v>20</v>
          </cell>
          <cell r="BU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>
            <v>0</v>
          </cell>
          <cell r="I23" t="e">
            <v>#REF!</v>
          </cell>
          <cell r="J23">
            <v>0</v>
          </cell>
          <cell r="K23" t="e">
            <v>#REF!</v>
          </cell>
          <cell r="L23" t="e">
            <v>#REF!</v>
          </cell>
          <cell r="M23">
            <v>0</v>
          </cell>
          <cell r="N23" t="e">
            <v>#REF!</v>
          </cell>
          <cell r="O23" t="e">
            <v>#REF!</v>
          </cell>
          <cell r="P23" t="e">
            <v>#REF!</v>
          </cell>
          <cell r="Q23">
            <v>0</v>
          </cell>
          <cell r="R23">
            <v>0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>
            <v>0</v>
          </cell>
          <cell r="Y23">
            <v>0</v>
          </cell>
          <cell r="Z23" t="e">
            <v>#REF!</v>
          </cell>
          <cell r="AA23" t="e">
            <v>#REF!</v>
          </cell>
          <cell r="AB23">
            <v>0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>
            <v>0</v>
          </cell>
          <cell r="AR23">
            <v>0</v>
          </cell>
          <cell r="AS23" t="e">
            <v>#REF!</v>
          </cell>
          <cell r="AT23" t="e">
            <v>#REF!</v>
          </cell>
          <cell r="AU23" t="e">
            <v>#REF!</v>
          </cell>
          <cell r="AV23" t="e">
            <v>#REF!</v>
          </cell>
          <cell r="AW23">
            <v>0</v>
          </cell>
          <cell r="AX23" t="e">
            <v>#REF!</v>
          </cell>
          <cell r="AY23" t="e">
            <v>#REF!</v>
          </cell>
          <cell r="AZ23">
            <v>0</v>
          </cell>
          <cell r="BA23">
            <v>60</v>
          </cell>
          <cell r="BB23">
            <v>0</v>
          </cell>
          <cell r="BC23">
            <v>20</v>
          </cell>
          <cell r="BD23">
            <v>60</v>
          </cell>
          <cell r="BE23">
            <v>0</v>
          </cell>
          <cell r="BF23">
            <v>50</v>
          </cell>
          <cell r="BG23">
            <v>20</v>
          </cell>
          <cell r="BH23">
            <v>210</v>
          </cell>
          <cell r="BI23">
            <v>50</v>
          </cell>
          <cell r="BJ23">
            <v>0</v>
          </cell>
          <cell r="BK23">
            <v>0</v>
          </cell>
          <cell r="BL23">
            <v>0</v>
          </cell>
          <cell r="BM23">
            <v>50</v>
          </cell>
          <cell r="BN23">
            <v>0</v>
          </cell>
          <cell r="BO23">
            <v>20</v>
          </cell>
          <cell r="BP23">
            <v>20</v>
          </cell>
          <cell r="BQ23">
            <v>0</v>
          </cell>
          <cell r="BR23">
            <v>0</v>
          </cell>
          <cell r="BS23">
            <v>40</v>
          </cell>
          <cell r="BT23">
            <v>40</v>
          </cell>
          <cell r="BU23" t="e">
            <v>#REF!</v>
          </cell>
        </row>
        <row r="24">
          <cell r="C24" t="e">
            <v>#REF!</v>
          </cell>
          <cell r="D24">
            <v>0</v>
          </cell>
          <cell r="E24" t="e">
            <v>#REF!</v>
          </cell>
          <cell r="F24" t="e">
            <v>#REF!</v>
          </cell>
          <cell r="G24" t="e">
            <v>#REF!</v>
          </cell>
          <cell r="H24">
            <v>0</v>
          </cell>
          <cell r="I24" t="e">
            <v>#REF!</v>
          </cell>
          <cell r="J24">
            <v>0</v>
          </cell>
          <cell r="K24" t="e">
            <v>#REF!</v>
          </cell>
          <cell r="L24">
            <v>0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>
            <v>0</v>
          </cell>
          <cell r="R24">
            <v>0</v>
          </cell>
          <cell r="S24">
            <v>0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>
            <v>0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>
            <v>0</v>
          </cell>
          <cell r="AK24" t="e">
            <v>#REF!</v>
          </cell>
          <cell r="AL24">
            <v>0</v>
          </cell>
          <cell r="AM24">
            <v>0</v>
          </cell>
          <cell r="AN24" t="e">
            <v>#REF!</v>
          </cell>
          <cell r="AO24" t="e">
            <v>#REF!</v>
          </cell>
          <cell r="AP24" t="e">
            <v>#REF!</v>
          </cell>
          <cell r="AQ24">
            <v>0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  <cell r="AW24">
            <v>0</v>
          </cell>
          <cell r="AX24" t="e">
            <v>#REF!</v>
          </cell>
          <cell r="AY24" t="e">
            <v>#REF!</v>
          </cell>
          <cell r="AZ24">
            <v>30</v>
          </cell>
          <cell r="BA24">
            <v>20</v>
          </cell>
          <cell r="BB24">
            <v>0</v>
          </cell>
          <cell r="BC24">
            <v>20</v>
          </cell>
          <cell r="BD24">
            <v>50</v>
          </cell>
          <cell r="BE24">
            <v>30</v>
          </cell>
          <cell r="BF24">
            <v>30</v>
          </cell>
          <cell r="BG24">
            <v>20</v>
          </cell>
          <cell r="BH24">
            <v>200</v>
          </cell>
          <cell r="BI24">
            <v>50</v>
          </cell>
          <cell r="BJ24">
            <v>0</v>
          </cell>
          <cell r="BK24">
            <v>0</v>
          </cell>
          <cell r="BL24">
            <v>20</v>
          </cell>
          <cell r="BM24">
            <v>70</v>
          </cell>
          <cell r="BN24">
            <v>20</v>
          </cell>
          <cell r="BO24">
            <v>70</v>
          </cell>
          <cell r="BP24">
            <v>90</v>
          </cell>
          <cell r="BQ24">
            <v>0</v>
          </cell>
          <cell r="BR24">
            <v>0</v>
          </cell>
          <cell r="BS24">
            <v>40</v>
          </cell>
          <cell r="BT24">
            <v>40</v>
          </cell>
          <cell r="BU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>
            <v>0</v>
          </cell>
          <cell r="G25" t="e">
            <v>#REF!</v>
          </cell>
          <cell r="H25" t="e">
            <v>#REF!</v>
          </cell>
          <cell r="I25" t="e">
            <v>#REF!</v>
          </cell>
          <cell r="J25">
            <v>0</v>
          </cell>
          <cell r="K25" t="e">
            <v>#REF!</v>
          </cell>
          <cell r="L25">
            <v>0</v>
          </cell>
          <cell r="M25">
            <v>0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>
            <v>0</v>
          </cell>
          <cell r="Z25" t="e">
            <v>#REF!</v>
          </cell>
          <cell r="AA25">
            <v>0</v>
          </cell>
          <cell r="AB25">
            <v>0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>
            <v>0</v>
          </cell>
          <cell r="AJ25" t="e">
            <v>#REF!</v>
          </cell>
          <cell r="AK25">
            <v>0</v>
          </cell>
          <cell r="AL25" t="e">
            <v>#REF!</v>
          </cell>
          <cell r="AM25">
            <v>0</v>
          </cell>
          <cell r="AN25">
            <v>0</v>
          </cell>
          <cell r="AO25" t="e">
            <v>#REF!</v>
          </cell>
          <cell r="AP25" t="e">
            <v>#REF!</v>
          </cell>
          <cell r="AQ25">
            <v>0</v>
          </cell>
          <cell r="AR25">
            <v>0</v>
          </cell>
          <cell r="AS25" t="e">
            <v>#REF!</v>
          </cell>
          <cell r="AT25" t="e">
            <v>#REF!</v>
          </cell>
          <cell r="AU25" t="e">
            <v>#REF!</v>
          </cell>
          <cell r="AV25" t="e">
            <v>#REF!</v>
          </cell>
          <cell r="AW25" t="e">
            <v>#REF!</v>
          </cell>
          <cell r="AX25" t="e">
            <v>#REF!</v>
          </cell>
          <cell r="AY25" t="e">
            <v>#REF!</v>
          </cell>
          <cell r="AZ25">
            <v>30</v>
          </cell>
          <cell r="BA25">
            <v>20</v>
          </cell>
          <cell r="BB25">
            <v>20</v>
          </cell>
          <cell r="BC25">
            <v>20</v>
          </cell>
          <cell r="BD25">
            <v>50</v>
          </cell>
          <cell r="BE25">
            <v>30</v>
          </cell>
          <cell r="BF25">
            <v>30</v>
          </cell>
          <cell r="BG25">
            <v>60</v>
          </cell>
          <cell r="BH25">
            <v>260</v>
          </cell>
          <cell r="BI25">
            <v>20</v>
          </cell>
          <cell r="BJ25">
            <v>0</v>
          </cell>
          <cell r="BK25">
            <v>0</v>
          </cell>
          <cell r="BL25">
            <v>20</v>
          </cell>
          <cell r="BM25">
            <v>40</v>
          </cell>
          <cell r="BN25">
            <v>20</v>
          </cell>
          <cell r="BO25">
            <v>20</v>
          </cell>
          <cell r="BP25">
            <v>40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e">
            <v>#REF!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>
            <v>0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>
            <v>0</v>
          </cell>
          <cell r="Z26" t="e">
            <v>#REF!</v>
          </cell>
          <cell r="AA26" t="e">
            <v>#REF!</v>
          </cell>
          <cell r="AB26" t="e">
            <v>#REF!</v>
          </cell>
          <cell r="AC26">
            <v>0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 t="e">
            <v>#REF!</v>
          </cell>
          <cell r="AN26">
            <v>0</v>
          </cell>
          <cell r="AO26">
            <v>0</v>
          </cell>
          <cell r="AP26" t="e">
            <v>#REF!</v>
          </cell>
          <cell r="AQ26">
            <v>0</v>
          </cell>
          <cell r="AR26">
            <v>0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  <cell r="AW26" t="e">
            <v>#REF!</v>
          </cell>
          <cell r="AX26" t="e">
            <v>#REF!</v>
          </cell>
          <cell r="AY26" t="e">
            <v>#REF!</v>
          </cell>
          <cell r="AZ26">
            <v>30</v>
          </cell>
          <cell r="BA26">
            <v>0</v>
          </cell>
          <cell r="BB26">
            <v>20</v>
          </cell>
          <cell r="BC26">
            <v>0</v>
          </cell>
          <cell r="BD26">
            <v>30</v>
          </cell>
          <cell r="BE26">
            <v>50</v>
          </cell>
          <cell r="BF26">
            <v>30</v>
          </cell>
          <cell r="BG26">
            <v>20</v>
          </cell>
          <cell r="BH26">
            <v>180</v>
          </cell>
          <cell r="BI26">
            <v>0</v>
          </cell>
          <cell r="BJ26">
            <v>20</v>
          </cell>
          <cell r="BK26">
            <v>0</v>
          </cell>
          <cell r="BL26">
            <v>20</v>
          </cell>
          <cell r="BM26">
            <v>40</v>
          </cell>
          <cell r="BN26">
            <v>35</v>
          </cell>
          <cell r="BO26">
            <v>35</v>
          </cell>
          <cell r="BP26">
            <v>70</v>
          </cell>
          <cell r="BQ26">
            <v>0</v>
          </cell>
          <cell r="BR26">
            <v>0</v>
          </cell>
          <cell r="BS26">
            <v>20</v>
          </cell>
          <cell r="BT26">
            <v>20</v>
          </cell>
          <cell r="BU26" t="e">
            <v>#REF!</v>
          </cell>
        </row>
        <row r="27">
          <cell r="C27" t="e">
            <v>#REF!</v>
          </cell>
          <cell r="D27" t="e">
            <v>#REF!</v>
          </cell>
          <cell r="E27">
            <v>0</v>
          </cell>
          <cell r="F27" t="e">
            <v>#REF!</v>
          </cell>
          <cell r="G27" t="e">
            <v>#REF!</v>
          </cell>
          <cell r="H27">
            <v>0</v>
          </cell>
          <cell r="I27" t="e">
            <v>#REF!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e">
            <v>#REF!</v>
          </cell>
          <cell r="O27" t="e">
            <v>#REF!</v>
          </cell>
          <cell r="P27" t="e">
            <v>#REF!</v>
          </cell>
          <cell r="Q27">
            <v>0</v>
          </cell>
          <cell r="R27">
            <v>0</v>
          </cell>
          <cell r="S27">
            <v>0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>
            <v>0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>
            <v>0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  <cell r="AW27" t="e">
            <v>#REF!</v>
          </cell>
          <cell r="AX27">
            <v>0</v>
          </cell>
          <cell r="AY27" t="e">
            <v>#REF!</v>
          </cell>
          <cell r="AZ27">
            <v>30</v>
          </cell>
          <cell r="BA27">
            <v>0</v>
          </cell>
          <cell r="BB27">
            <v>20</v>
          </cell>
          <cell r="BC27">
            <v>0</v>
          </cell>
          <cell r="BD27">
            <v>50</v>
          </cell>
          <cell r="BE27">
            <v>30</v>
          </cell>
          <cell r="BF27">
            <v>30</v>
          </cell>
          <cell r="BG27">
            <v>30</v>
          </cell>
          <cell r="BH27">
            <v>190</v>
          </cell>
          <cell r="BI27">
            <v>20</v>
          </cell>
          <cell r="BJ27">
            <v>20</v>
          </cell>
          <cell r="BK27">
            <v>0</v>
          </cell>
          <cell r="BL27">
            <v>30</v>
          </cell>
          <cell r="BM27">
            <v>70</v>
          </cell>
          <cell r="BN27">
            <v>0</v>
          </cell>
          <cell r="BO27">
            <v>35</v>
          </cell>
          <cell r="BP27">
            <v>35</v>
          </cell>
          <cell r="BQ27">
            <v>0</v>
          </cell>
          <cell r="BR27">
            <v>0</v>
          </cell>
          <cell r="BS27">
            <v>40</v>
          </cell>
          <cell r="BT27">
            <v>40</v>
          </cell>
          <cell r="BU27" t="e">
            <v>#REF!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>
            <v>0</v>
          </cell>
          <cell r="J28" t="e">
            <v>#REF!</v>
          </cell>
          <cell r="K28">
            <v>0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>
            <v>0</v>
          </cell>
          <cell r="R28">
            <v>0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>
            <v>0</v>
          </cell>
          <cell r="Z28" t="e">
            <v>#REF!</v>
          </cell>
          <cell r="AA28">
            <v>0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 t="e">
            <v>#REF!</v>
          </cell>
          <cell r="AM28">
            <v>0</v>
          </cell>
          <cell r="AN28">
            <v>0</v>
          </cell>
          <cell r="AO28">
            <v>0</v>
          </cell>
          <cell r="AP28" t="e">
            <v>#REF!</v>
          </cell>
          <cell r="AQ28">
            <v>0</v>
          </cell>
          <cell r="AR28">
            <v>0</v>
          </cell>
          <cell r="AS28" t="e">
            <v>#REF!</v>
          </cell>
          <cell r="AT28" t="e">
            <v>#REF!</v>
          </cell>
          <cell r="AU28" t="e">
            <v>#REF!</v>
          </cell>
          <cell r="AV28" t="e">
            <v>#REF!</v>
          </cell>
          <cell r="AW28">
            <v>0</v>
          </cell>
          <cell r="AX28" t="e">
            <v>#REF!</v>
          </cell>
          <cell r="AY28" t="e">
            <v>#REF!</v>
          </cell>
          <cell r="AZ28">
            <v>30</v>
          </cell>
          <cell r="BA28">
            <v>30</v>
          </cell>
          <cell r="BB28">
            <v>0</v>
          </cell>
          <cell r="BC28">
            <v>0</v>
          </cell>
          <cell r="BD28">
            <v>50</v>
          </cell>
          <cell r="BE28">
            <v>50</v>
          </cell>
          <cell r="BF28">
            <v>50</v>
          </cell>
          <cell r="BG28">
            <v>20</v>
          </cell>
          <cell r="BH28">
            <v>230</v>
          </cell>
          <cell r="BI28">
            <v>30</v>
          </cell>
          <cell r="BJ28">
            <v>0</v>
          </cell>
          <cell r="BK28">
            <v>0</v>
          </cell>
          <cell r="BL28">
            <v>0</v>
          </cell>
          <cell r="BM28">
            <v>30</v>
          </cell>
          <cell r="BN28">
            <v>20</v>
          </cell>
          <cell r="BO28">
            <v>0</v>
          </cell>
          <cell r="BP28">
            <v>20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e">
            <v>#REF!</v>
          </cell>
        </row>
        <row r="29">
          <cell r="C29">
            <v>0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0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>
            <v>0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>
            <v>0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>
            <v>0</v>
          </cell>
          <cell r="AH29">
            <v>0</v>
          </cell>
          <cell r="AI29" t="e">
            <v>#REF!</v>
          </cell>
          <cell r="AJ29" t="e">
            <v>#REF!</v>
          </cell>
          <cell r="AK29">
            <v>0</v>
          </cell>
          <cell r="AL29" t="e">
            <v>#REF!</v>
          </cell>
          <cell r="AM29" t="e">
            <v>#REF!</v>
          </cell>
          <cell r="AN29">
            <v>0</v>
          </cell>
          <cell r="AO29" t="e">
            <v>#REF!</v>
          </cell>
          <cell r="AP29" t="e">
            <v>#REF!</v>
          </cell>
          <cell r="AQ29">
            <v>0</v>
          </cell>
          <cell r="AR29">
            <v>0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  <cell r="AW29">
            <v>0</v>
          </cell>
          <cell r="AX29" t="e">
            <v>#REF!</v>
          </cell>
          <cell r="AY29" t="e">
            <v>#REF!</v>
          </cell>
          <cell r="AZ29">
            <v>30</v>
          </cell>
          <cell r="BA29">
            <v>60</v>
          </cell>
          <cell r="BB29">
            <v>20</v>
          </cell>
          <cell r="BC29">
            <v>20</v>
          </cell>
          <cell r="BD29">
            <v>60</v>
          </cell>
          <cell r="BE29">
            <v>30</v>
          </cell>
          <cell r="BF29">
            <v>30</v>
          </cell>
          <cell r="BG29">
            <v>20</v>
          </cell>
          <cell r="BH29">
            <v>270</v>
          </cell>
          <cell r="BI29">
            <v>0</v>
          </cell>
          <cell r="BJ29">
            <v>0</v>
          </cell>
          <cell r="BK29">
            <v>0</v>
          </cell>
          <cell r="BL29">
            <v>30</v>
          </cell>
          <cell r="BM29">
            <v>30</v>
          </cell>
          <cell r="BN29">
            <v>20</v>
          </cell>
          <cell r="BO29">
            <v>35</v>
          </cell>
          <cell r="BP29">
            <v>55</v>
          </cell>
          <cell r="BQ29">
            <v>0</v>
          </cell>
          <cell r="BR29">
            <v>0</v>
          </cell>
          <cell r="BS29">
            <v>20</v>
          </cell>
          <cell r="BT29">
            <v>20</v>
          </cell>
          <cell r="BU29" t="e">
            <v>#REF!</v>
          </cell>
        </row>
        <row r="30">
          <cell r="C30" t="e">
            <v>#REF!</v>
          </cell>
          <cell r="D30">
            <v>0</v>
          </cell>
          <cell r="E30" t="e">
            <v>#REF!</v>
          </cell>
          <cell r="F30">
            <v>0</v>
          </cell>
          <cell r="G30" t="e">
            <v>#REF!</v>
          </cell>
          <cell r="H30">
            <v>0</v>
          </cell>
          <cell r="I30" t="e">
            <v>#REF!</v>
          </cell>
          <cell r="J30" t="e">
            <v>#REF!</v>
          </cell>
          <cell r="K30">
            <v>0</v>
          </cell>
          <cell r="L30">
            <v>0</v>
          </cell>
          <cell r="M30">
            <v>0</v>
          </cell>
          <cell r="N30" t="e">
            <v>#REF!</v>
          </cell>
          <cell r="O30" t="e">
            <v>#REF!</v>
          </cell>
          <cell r="P30" t="e">
            <v>#REF!</v>
          </cell>
          <cell r="Q30">
            <v>0</v>
          </cell>
          <cell r="R30">
            <v>0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>
            <v>0</v>
          </cell>
          <cell r="Z30" t="e">
            <v>#REF!</v>
          </cell>
          <cell r="AA30" t="e">
            <v>#REF!</v>
          </cell>
          <cell r="AB30">
            <v>0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>
            <v>0</v>
          </cell>
          <cell r="AH30" t="e">
            <v>#REF!</v>
          </cell>
          <cell r="AI30" t="e">
            <v>#REF!</v>
          </cell>
          <cell r="AJ30">
            <v>0</v>
          </cell>
          <cell r="AK30" t="e">
            <v>#REF!</v>
          </cell>
          <cell r="AL30">
            <v>0</v>
          </cell>
          <cell r="AM30" t="e">
            <v>#REF!</v>
          </cell>
          <cell r="AN30" t="e">
            <v>#REF!</v>
          </cell>
          <cell r="AO30" t="e">
            <v>#REF!</v>
          </cell>
          <cell r="AP30" t="e">
            <v>#REF!</v>
          </cell>
          <cell r="AQ30">
            <v>0</v>
          </cell>
          <cell r="AR30">
            <v>0</v>
          </cell>
          <cell r="AS30" t="e">
            <v>#REF!</v>
          </cell>
          <cell r="AT30" t="e">
            <v>#REF!</v>
          </cell>
          <cell r="AU30" t="e">
            <v>#REF!</v>
          </cell>
          <cell r="AV30" t="e">
            <v>#REF!</v>
          </cell>
          <cell r="AW30">
            <v>0</v>
          </cell>
          <cell r="AX30">
            <v>0</v>
          </cell>
          <cell r="AY30" t="e">
            <v>#REF!</v>
          </cell>
          <cell r="AZ30">
            <v>30</v>
          </cell>
          <cell r="BA30">
            <v>20</v>
          </cell>
          <cell r="BB30">
            <v>0</v>
          </cell>
          <cell r="BC30">
            <v>60</v>
          </cell>
          <cell r="BD30">
            <v>50</v>
          </cell>
          <cell r="BE30">
            <v>30</v>
          </cell>
          <cell r="BF30">
            <v>30</v>
          </cell>
          <cell r="BG30">
            <v>60</v>
          </cell>
          <cell r="BH30">
            <v>280</v>
          </cell>
          <cell r="BI30">
            <v>0</v>
          </cell>
          <cell r="BJ30">
            <v>0</v>
          </cell>
          <cell r="BK30">
            <v>0</v>
          </cell>
          <cell r="BL30">
            <v>60</v>
          </cell>
          <cell r="BM30">
            <v>60</v>
          </cell>
          <cell r="BN30">
            <v>20</v>
          </cell>
          <cell r="BO30">
            <v>0</v>
          </cell>
          <cell r="BP30">
            <v>20</v>
          </cell>
          <cell r="BQ30">
            <v>0</v>
          </cell>
          <cell r="BR30">
            <v>0</v>
          </cell>
          <cell r="BS30">
            <v>40</v>
          </cell>
          <cell r="BT30">
            <v>40</v>
          </cell>
          <cell r="BU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>
            <v>0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>
            <v>0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>
            <v>0</v>
          </cell>
          <cell r="Y31">
            <v>0</v>
          </cell>
          <cell r="Z31" t="e">
            <v>#REF!</v>
          </cell>
          <cell r="AA31">
            <v>0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>
            <v>0</v>
          </cell>
          <cell r="AH31" t="e">
            <v>#REF!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 t="e">
            <v>#REF!</v>
          </cell>
          <cell r="AO31" t="e">
            <v>#REF!</v>
          </cell>
          <cell r="AP31" t="e">
            <v>#REF!</v>
          </cell>
          <cell r="AQ31">
            <v>0</v>
          </cell>
          <cell r="AR31">
            <v>0</v>
          </cell>
          <cell r="AS31" t="e">
            <v>#REF!</v>
          </cell>
          <cell r="AT31" t="e">
            <v>#REF!</v>
          </cell>
          <cell r="AU31">
            <v>0</v>
          </cell>
          <cell r="AV31" t="e">
            <v>#REF!</v>
          </cell>
          <cell r="AW31" t="e">
            <v>#REF!</v>
          </cell>
          <cell r="AX31">
            <v>0</v>
          </cell>
          <cell r="AY31" t="e">
            <v>#REF!</v>
          </cell>
          <cell r="AZ31">
            <v>30</v>
          </cell>
          <cell r="BA31">
            <v>20</v>
          </cell>
          <cell r="BB31">
            <v>20</v>
          </cell>
          <cell r="BC31">
            <v>30</v>
          </cell>
          <cell r="BD31">
            <v>30</v>
          </cell>
          <cell r="BE31">
            <v>30</v>
          </cell>
          <cell r="BF31">
            <v>30</v>
          </cell>
          <cell r="BG31">
            <v>30</v>
          </cell>
          <cell r="BH31">
            <v>220</v>
          </cell>
          <cell r="BI31">
            <v>30</v>
          </cell>
          <cell r="BJ31">
            <v>0</v>
          </cell>
          <cell r="BK31">
            <v>0</v>
          </cell>
          <cell r="BL31">
            <v>30</v>
          </cell>
          <cell r="BM31">
            <v>60</v>
          </cell>
          <cell r="BN31">
            <v>0</v>
          </cell>
          <cell r="BO31">
            <v>0</v>
          </cell>
          <cell r="BP31">
            <v>0</v>
          </cell>
          <cell r="BQ31">
            <v>55</v>
          </cell>
          <cell r="BR31">
            <v>55</v>
          </cell>
          <cell r="BS31">
            <v>0</v>
          </cell>
          <cell r="BT31">
            <v>0</v>
          </cell>
          <cell r="BU31" t="e">
            <v>#REF!</v>
          </cell>
        </row>
        <row r="32">
          <cell r="C32" t="e">
            <v>#REF!</v>
          </cell>
          <cell r="D32" t="e">
            <v>#REF!</v>
          </cell>
          <cell r="E32">
            <v>0</v>
          </cell>
          <cell r="F32">
            <v>0</v>
          </cell>
          <cell r="G32" t="e">
            <v>#REF!</v>
          </cell>
          <cell r="H32">
            <v>0</v>
          </cell>
          <cell r="I32" t="e">
            <v>#REF!</v>
          </cell>
          <cell r="J32">
            <v>0</v>
          </cell>
          <cell r="K32" t="e">
            <v>#REF!</v>
          </cell>
          <cell r="L32" t="e">
            <v>#REF!</v>
          </cell>
          <cell r="M32">
            <v>0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>
            <v>0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>
            <v>0</v>
          </cell>
          <cell r="Y32">
            <v>0</v>
          </cell>
          <cell r="Z32" t="e">
            <v>#REF!</v>
          </cell>
          <cell r="AA32">
            <v>0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H32">
            <v>0</v>
          </cell>
          <cell r="AI32" t="e">
            <v>#REF!</v>
          </cell>
          <cell r="AJ32" t="e">
            <v>#REF!</v>
          </cell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>
            <v>0</v>
          </cell>
          <cell r="AS32" t="e">
            <v>#REF!</v>
          </cell>
          <cell r="AT32">
            <v>0</v>
          </cell>
          <cell r="AU32" t="e">
            <v>#REF!</v>
          </cell>
          <cell r="AV32" t="e">
            <v>#REF!</v>
          </cell>
          <cell r="AW32" t="e">
            <v>#REF!</v>
          </cell>
          <cell r="AX32">
            <v>0</v>
          </cell>
          <cell r="AY32" t="e">
            <v>#REF!</v>
          </cell>
          <cell r="AZ32">
            <v>30</v>
          </cell>
          <cell r="BA32">
            <v>30</v>
          </cell>
          <cell r="BB32">
            <v>0</v>
          </cell>
          <cell r="BC32">
            <v>20</v>
          </cell>
          <cell r="BD32">
            <v>60</v>
          </cell>
          <cell r="BE32">
            <v>30</v>
          </cell>
          <cell r="BF32">
            <v>50</v>
          </cell>
          <cell r="BG32">
            <v>60</v>
          </cell>
          <cell r="BH32">
            <v>280</v>
          </cell>
          <cell r="BI32">
            <v>0</v>
          </cell>
          <cell r="BJ32">
            <v>0</v>
          </cell>
          <cell r="BK32">
            <v>0</v>
          </cell>
          <cell r="BL32">
            <v>20</v>
          </cell>
          <cell r="BM32">
            <v>20</v>
          </cell>
          <cell r="BN32">
            <v>0</v>
          </cell>
          <cell r="BO32">
            <v>70</v>
          </cell>
          <cell r="BP32">
            <v>70</v>
          </cell>
          <cell r="BQ32">
            <v>35</v>
          </cell>
          <cell r="BR32">
            <v>35</v>
          </cell>
          <cell r="BS32">
            <v>0</v>
          </cell>
          <cell r="BT32">
            <v>0</v>
          </cell>
          <cell r="BU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 t="e">
            <v>#REF!</v>
          </cell>
          <cell r="M33">
            <v>0</v>
          </cell>
          <cell r="N33">
            <v>0</v>
          </cell>
          <cell r="O33" t="e">
            <v>#REF!</v>
          </cell>
          <cell r="P33" t="e">
            <v>#REF!</v>
          </cell>
          <cell r="Q33" t="e">
            <v>#REF!</v>
          </cell>
          <cell r="R33">
            <v>0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>
            <v>0</v>
          </cell>
          <cell r="Z33" t="e">
            <v>#REF!</v>
          </cell>
          <cell r="AA33" t="e">
            <v>#REF!</v>
          </cell>
          <cell r="AB33">
            <v>0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H33">
            <v>0</v>
          </cell>
          <cell r="AI33">
            <v>0</v>
          </cell>
          <cell r="AJ33" t="e">
            <v>#REF!</v>
          </cell>
          <cell r="AK33">
            <v>0</v>
          </cell>
          <cell r="AL33" t="e">
            <v>#REF!</v>
          </cell>
          <cell r="AM33">
            <v>0</v>
          </cell>
          <cell r="AN33" t="e">
            <v>#REF!</v>
          </cell>
          <cell r="AO33" t="e">
            <v>#REF!</v>
          </cell>
          <cell r="AP33" t="e">
            <v>#REF!</v>
          </cell>
          <cell r="AQ33">
            <v>0</v>
          </cell>
          <cell r="AR33">
            <v>0</v>
          </cell>
          <cell r="AS33" t="e">
            <v>#REF!</v>
          </cell>
          <cell r="AT33" t="e">
            <v>#REF!</v>
          </cell>
          <cell r="AU33" t="e">
            <v>#REF!</v>
          </cell>
          <cell r="AV33" t="e">
            <v>#REF!</v>
          </cell>
          <cell r="AW33">
            <v>0</v>
          </cell>
          <cell r="AX33" t="e">
            <v>#REF!</v>
          </cell>
          <cell r="AY33" t="e">
            <v>#REF!</v>
          </cell>
          <cell r="AZ33">
            <v>0</v>
          </cell>
          <cell r="BA33">
            <v>0</v>
          </cell>
          <cell r="BB33">
            <v>30</v>
          </cell>
          <cell r="BC33">
            <v>20</v>
          </cell>
          <cell r="BD33">
            <v>30</v>
          </cell>
          <cell r="BE33">
            <v>30</v>
          </cell>
          <cell r="BF33">
            <v>30</v>
          </cell>
          <cell r="BG33">
            <v>20</v>
          </cell>
          <cell r="BH33">
            <v>160</v>
          </cell>
          <cell r="BI33">
            <v>20</v>
          </cell>
          <cell r="BJ33">
            <v>0</v>
          </cell>
          <cell r="BK33">
            <v>0</v>
          </cell>
          <cell r="BL33">
            <v>30</v>
          </cell>
          <cell r="BM33">
            <v>50</v>
          </cell>
          <cell r="BN33">
            <v>20</v>
          </cell>
          <cell r="BO33">
            <v>20</v>
          </cell>
          <cell r="BP33">
            <v>40</v>
          </cell>
          <cell r="BQ33">
            <v>0</v>
          </cell>
          <cell r="BR33">
            <v>0</v>
          </cell>
          <cell r="BS33">
            <v>40</v>
          </cell>
          <cell r="BT33">
            <v>40</v>
          </cell>
          <cell r="BU33" t="e">
            <v>#REF!</v>
          </cell>
        </row>
        <row r="34">
          <cell r="C34" t="e">
            <v>#REF!</v>
          </cell>
          <cell r="D34" t="e">
            <v>#REF!</v>
          </cell>
          <cell r="E34">
            <v>0</v>
          </cell>
          <cell r="F34" t="e">
            <v>#REF!</v>
          </cell>
          <cell r="G34" t="e">
            <v>#REF!</v>
          </cell>
          <cell r="H34" t="e">
            <v>#REF!</v>
          </cell>
          <cell r="I34">
            <v>0</v>
          </cell>
          <cell r="J34" t="e">
            <v>#REF!</v>
          </cell>
          <cell r="K34">
            <v>0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>
            <v>0</v>
          </cell>
          <cell r="R34">
            <v>0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>
            <v>0</v>
          </cell>
          <cell r="Y34" t="e">
            <v>#REF!</v>
          </cell>
          <cell r="Z34" t="e">
            <v>#REF!</v>
          </cell>
          <cell r="AA34">
            <v>0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  <cell r="AG34" t="e">
            <v>#REF!</v>
          </cell>
          <cell r="AH34" t="e">
            <v>#REF!</v>
          </cell>
          <cell r="AI34" t="e">
            <v>#REF!</v>
          </cell>
          <cell r="AJ34">
            <v>0</v>
          </cell>
          <cell r="AK34">
            <v>0</v>
          </cell>
          <cell r="AL34">
            <v>0</v>
          </cell>
          <cell r="AM34" t="e">
            <v>#REF!</v>
          </cell>
          <cell r="AN34" t="e">
            <v>#REF!</v>
          </cell>
          <cell r="AO34" t="e">
            <v>#REF!</v>
          </cell>
          <cell r="AP34" t="e">
            <v>#REF!</v>
          </cell>
          <cell r="AQ34">
            <v>0</v>
          </cell>
          <cell r="AR34">
            <v>0</v>
          </cell>
          <cell r="AS34" t="e">
            <v>#REF!</v>
          </cell>
          <cell r="AT34" t="e">
            <v>#REF!</v>
          </cell>
          <cell r="AU34" t="e">
            <v>#REF!</v>
          </cell>
          <cell r="AV34" t="e">
            <v>#REF!</v>
          </cell>
          <cell r="AW34" t="e">
            <v>#REF!</v>
          </cell>
          <cell r="AX34">
            <v>0</v>
          </cell>
          <cell r="AY34" t="e">
            <v>#REF!</v>
          </cell>
          <cell r="AZ34">
            <v>30</v>
          </cell>
          <cell r="BA34">
            <v>20</v>
          </cell>
          <cell r="BB34">
            <v>0</v>
          </cell>
          <cell r="BC34">
            <v>20</v>
          </cell>
          <cell r="BD34">
            <v>30</v>
          </cell>
          <cell r="BE34">
            <v>30</v>
          </cell>
          <cell r="BF34">
            <v>30</v>
          </cell>
          <cell r="BG34">
            <v>20</v>
          </cell>
          <cell r="BH34">
            <v>180</v>
          </cell>
          <cell r="BI34">
            <v>50</v>
          </cell>
          <cell r="BJ34">
            <v>20</v>
          </cell>
          <cell r="BK34">
            <v>0</v>
          </cell>
          <cell r="BL34">
            <v>20</v>
          </cell>
          <cell r="BM34">
            <v>90</v>
          </cell>
          <cell r="BN34">
            <v>20</v>
          </cell>
          <cell r="BO34">
            <v>20</v>
          </cell>
          <cell r="BP34">
            <v>40</v>
          </cell>
          <cell r="BQ34">
            <v>35</v>
          </cell>
          <cell r="BR34">
            <v>35</v>
          </cell>
          <cell r="BS34">
            <v>20</v>
          </cell>
          <cell r="BT34">
            <v>20</v>
          </cell>
          <cell r="BU34" t="e">
            <v>#REF!</v>
          </cell>
        </row>
        <row r="35">
          <cell r="C35" t="e">
            <v>#REF!</v>
          </cell>
          <cell r="D35" t="e">
            <v>#REF!</v>
          </cell>
          <cell r="E35">
            <v>0</v>
          </cell>
          <cell r="F35" t="e">
            <v>#REF!</v>
          </cell>
          <cell r="G35" t="e">
            <v>#REF!</v>
          </cell>
          <cell r="H35" t="e">
            <v>#REF!</v>
          </cell>
          <cell r="I35">
            <v>0</v>
          </cell>
          <cell r="J35" t="e">
            <v>#REF!</v>
          </cell>
          <cell r="K35" t="e">
            <v>#REF!</v>
          </cell>
          <cell r="L35">
            <v>0</v>
          </cell>
          <cell r="M35">
            <v>0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>
            <v>0</v>
          </cell>
          <cell r="S35">
            <v>0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>
            <v>0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>
            <v>0</v>
          </cell>
          <cell r="AG35">
            <v>0</v>
          </cell>
          <cell r="AH35" t="e">
            <v>#REF!</v>
          </cell>
          <cell r="AI35" t="e">
            <v>#REF!</v>
          </cell>
          <cell r="AJ35" t="e">
            <v>#REF!</v>
          </cell>
          <cell r="AK35">
            <v>0</v>
          </cell>
          <cell r="AL35">
            <v>0</v>
          </cell>
          <cell r="AM35">
            <v>0</v>
          </cell>
          <cell r="AN35" t="e">
            <v>#REF!</v>
          </cell>
          <cell r="AO35" t="e">
            <v>#REF!</v>
          </cell>
          <cell r="AP35" t="e">
            <v>#REF!</v>
          </cell>
          <cell r="AQ35">
            <v>0</v>
          </cell>
          <cell r="AR35">
            <v>0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  <cell r="AW35" t="e">
            <v>#REF!</v>
          </cell>
          <cell r="AX35">
            <v>0</v>
          </cell>
          <cell r="AY35" t="e">
            <v>#REF!</v>
          </cell>
          <cell r="AZ35">
            <v>30</v>
          </cell>
          <cell r="BA35">
            <v>20</v>
          </cell>
          <cell r="BB35">
            <v>0</v>
          </cell>
          <cell r="BC35">
            <v>20</v>
          </cell>
          <cell r="BD35">
            <v>50</v>
          </cell>
          <cell r="BE35">
            <v>30</v>
          </cell>
          <cell r="BF35">
            <v>50</v>
          </cell>
          <cell r="BG35">
            <v>20</v>
          </cell>
          <cell r="BH35">
            <v>220</v>
          </cell>
          <cell r="BI35">
            <v>50</v>
          </cell>
          <cell r="BJ35">
            <v>20</v>
          </cell>
          <cell r="BK35">
            <v>0</v>
          </cell>
          <cell r="BL35">
            <v>20</v>
          </cell>
          <cell r="BM35">
            <v>90</v>
          </cell>
          <cell r="BN35">
            <v>0</v>
          </cell>
          <cell r="BO35">
            <v>20</v>
          </cell>
          <cell r="BP35">
            <v>20</v>
          </cell>
          <cell r="BQ35">
            <v>55</v>
          </cell>
          <cell r="BR35">
            <v>55</v>
          </cell>
          <cell r="BS35">
            <v>40</v>
          </cell>
          <cell r="BT35">
            <v>40</v>
          </cell>
          <cell r="BU35" t="e">
            <v>#REF!</v>
          </cell>
        </row>
        <row r="36">
          <cell r="C36" t="e">
            <v>#REF!</v>
          </cell>
          <cell r="D36" t="e">
            <v>#REF!</v>
          </cell>
          <cell r="E36">
            <v>0</v>
          </cell>
          <cell r="F36">
            <v>0</v>
          </cell>
          <cell r="G36" t="e">
            <v>#REF!</v>
          </cell>
          <cell r="H36" t="e">
            <v>#REF!</v>
          </cell>
          <cell r="I36" t="e">
            <v>#REF!</v>
          </cell>
          <cell r="J36">
            <v>0</v>
          </cell>
          <cell r="K36">
            <v>0</v>
          </cell>
          <cell r="L36" t="e">
            <v>#REF!</v>
          </cell>
          <cell r="M36">
            <v>0</v>
          </cell>
          <cell r="N36" t="e">
            <v>#REF!</v>
          </cell>
          <cell r="O36" t="e">
            <v>#REF!</v>
          </cell>
          <cell r="P36" t="e">
            <v>#REF!</v>
          </cell>
          <cell r="Q36">
            <v>0</v>
          </cell>
          <cell r="R36">
            <v>0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>
            <v>0</v>
          </cell>
          <cell r="Y36">
            <v>0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>
            <v>0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>
            <v>0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>
            <v>0</v>
          </cell>
          <cell r="AR36" t="e">
            <v>#REF!</v>
          </cell>
          <cell r="AS36" t="e">
            <v>#REF!</v>
          </cell>
          <cell r="AT36" t="e">
            <v>#REF!</v>
          </cell>
          <cell r="AU36">
            <v>0</v>
          </cell>
          <cell r="AV36" t="e">
            <v>#REF!</v>
          </cell>
          <cell r="AW36">
            <v>0</v>
          </cell>
          <cell r="AX36" t="e">
            <v>#REF!</v>
          </cell>
          <cell r="AY36" t="e">
            <v>#REF!</v>
          </cell>
          <cell r="AZ36">
            <v>30</v>
          </cell>
          <cell r="BA36">
            <v>20</v>
          </cell>
          <cell r="BB36">
            <v>0</v>
          </cell>
          <cell r="BC36">
            <v>20</v>
          </cell>
          <cell r="BD36">
            <v>50</v>
          </cell>
          <cell r="BE36">
            <v>20</v>
          </cell>
          <cell r="BF36">
            <v>50</v>
          </cell>
          <cell r="BG36">
            <v>20</v>
          </cell>
          <cell r="BH36">
            <v>210</v>
          </cell>
          <cell r="BI36">
            <v>60</v>
          </cell>
          <cell r="BJ36">
            <v>0</v>
          </cell>
          <cell r="BK36">
            <v>20</v>
          </cell>
          <cell r="BL36">
            <v>20</v>
          </cell>
          <cell r="BM36">
            <v>100</v>
          </cell>
          <cell r="BN36">
            <v>20</v>
          </cell>
          <cell r="BO36">
            <v>20</v>
          </cell>
          <cell r="BP36">
            <v>40</v>
          </cell>
          <cell r="BQ36">
            <v>0</v>
          </cell>
          <cell r="BR36">
            <v>0</v>
          </cell>
          <cell r="BS36">
            <v>60</v>
          </cell>
          <cell r="BT36">
            <v>60</v>
          </cell>
          <cell r="BU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>
            <v>0</v>
          </cell>
          <cell r="I37" t="e">
            <v>#REF!</v>
          </cell>
          <cell r="J37">
            <v>0</v>
          </cell>
          <cell r="K37" t="e">
            <v>#REF!</v>
          </cell>
          <cell r="L37" t="e">
            <v>#REF!</v>
          </cell>
          <cell r="M37">
            <v>0</v>
          </cell>
          <cell r="N37" t="e">
            <v>#REF!</v>
          </cell>
          <cell r="O37" t="e">
            <v>#REF!</v>
          </cell>
          <cell r="P37" t="e">
            <v>#REF!</v>
          </cell>
          <cell r="Q37">
            <v>0</v>
          </cell>
          <cell r="R37">
            <v>0</v>
          </cell>
          <cell r="S37">
            <v>0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>
            <v>0</v>
          </cell>
          <cell r="Z37" t="e">
            <v>#REF!</v>
          </cell>
          <cell r="AA37">
            <v>0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>
            <v>0</v>
          </cell>
          <cell r="AL37" t="e">
            <v>#REF!</v>
          </cell>
          <cell r="AM37">
            <v>0</v>
          </cell>
          <cell r="AN37" t="e">
            <v>#REF!</v>
          </cell>
          <cell r="AO37">
            <v>0</v>
          </cell>
          <cell r="AP37" t="e">
            <v>#REF!</v>
          </cell>
          <cell r="AQ37">
            <v>0</v>
          </cell>
          <cell r="AR37">
            <v>0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>
            <v>30</v>
          </cell>
          <cell r="BA37">
            <v>0</v>
          </cell>
          <cell r="BB37">
            <v>20</v>
          </cell>
          <cell r="BC37">
            <v>0</v>
          </cell>
          <cell r="BD37">
            <v>30</v>
          </cell>
          <cell r="BE37">
            <v>30</v>
          </cell>
          <cell r="BF37">
            <v>50</v>
          </cell>
          <cell r="BG37">
            <v>20</v>
          </cell>
          <cell r="BH37">
            <v>180</v>
          </cell>
          <cell r="BI37">
            <v>50</v>
          </cell>
          <cell r="BJ37">
            <v>0</v>
          </cell>
          <cell r="BK37">
            <v>50</v>
          </cell>
          <cell r="BL37">
            <v>60</v>
          </cell>
          <cell r="BM37">
            <v>160</v>
          </cell>
          <cell r="BN37">
            <v>20</v>
          </cell>
          <cell r="BO37">
            <v>35</v>
          </cell>
          <cell r="BP37">
            <v>55</v>
          </cell>
          <cell r="BQ37">
            <v>0</v>
          </cell>
          <cell r="BR37">
            <v>0</v>
          </cell>
          <cell r="BS37">
            <v>40</v>
          </cell>
          <cell r="BT37">
            <v>40</v>
          </cell>
          <cell r="BU37" t="e">
            <v>#REF!</v>
          </cell>
        </row>
        <row r="38"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>
            <v>0</v>
          </cell>
          <cell r="J38" t="e">
            <v>#REF!</v>
          </cell>
          <cell r="K38" t="e">
            <v>#REF!</v>
          </cell>
          <cell r="L38">
            <v>0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>
            <v>0</v>
          </cell>
          <cell r="R38">
            <v>0</v>
          </cell>
          <cell r="S38">
            <v>0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>
            <v>0</v>
          </cell>
          <cell r="Z38" t="e">
            <v>#REF!</v>
          </cell>
          <cell r="AA38">
            <v>0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>
            <v>0</v>
          </cell>
          <cell r="AK38">
            <v>0</v>
          </cell>
          <cell r="AL38" t="e">
            <v>#REF!</v>
          </cell>
          <cell r="AM38">
            <v>0</v>
          </cell>
          <cell r="AN38" t="e">
            <v>#REF!</v>
          </cell>
          <cell r="AO38">
            <v>0</v>
          </cell>
          <cell r="AP38" t="e">
            <v>#REF!</v>
          </cell>
          <cell r="AQ38">
            <v>0</v>
          </cell>
          <cell r="AR38" t="e">
            <v>#REF!</v>
          </cell>
          <cell r="AS38" t="e">
            <v>#REF!</v>
          </cell>
          <cell r="AT38">
            <v>0</v>
          </cell>
          <cell r="AU38" t="e">
            <v>#REF!</v>
          </cell>
          <cell r="AV38" t="e">
            <v>#REF!</v>
          </cell>
          <cell r="AW38" t="e">
            <v>#REF!</v>
          </cell>
          <cell r="AX38">
            <v>0</v>
          </cell>
          <cell r="AY38" t="e">
            <v>#REF!</v>
          </cell>
          <cell r="AZ38">
            <v>50</v>
          </cell>
          <cell r="BA38">
            <v>20</v>
          </cell>
          <cell r="BB38">
            <v>0</v>
          </cell>
          <cell r="BC38">
            <v>60</v>
          </cell>
          <cell r="BD38">
            <v>50</v>
          </cell>
          <cell r="BE38">
            <v>50</v>
          </cell>
          <cell r="BF38">
            <v>50</v>
          </cell>
          <cell r="BG38">
            <v>30</v>
          </cell>
          <cell r="BH38">
            <v>310</v>
          </cell>
          <cell r="BI38">
            <v>50</v>
          </cell>
          <cell r="BJ38">
            <v>20</v>
          </cell>
          <cell r="BK38">
            <v>0</v>
          </cell>
          <cell r="BL38">
            <v>30</v>
          </cell>
          <cell r="BM38">
            <v>100</v>
          </cell>
          <cell r="BN38">
            <v>0</v>
          </cell>
          <cell r="BO38">
            <v>20</v>
          </cell>
          <cell r="BP38">
            <v>20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F39">
            <v>0</v>
          </cell>
          <cell r="G39" t="e">
            <v>#REF!</v>
          </cell>
          <cell r="H39">
            <v>0</v>
          </cell>
          <cell r="I39" t="e">
            <v>#REF!</v>
          </cell>
          <cell r="J39">
            <v>0</v>
          </cell>
          <cell r="K39">
            <v>0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>
            <v>0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>
            <v>0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 t="e">
            <v>#REF!</v>
          </cell>
          <cell r="AO39" t="e">
            <v>#REF!</v>
          </cell>
          <cell r="AP39" t="e">
            <v>#REF!</v>
          </cell>
          <cell r="AQ39">
            <v>0</v>
          </cell>
          <cell r="AR39">
            <v>0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>
            <v>30</v>
          </cell>
          <cell r="BA39">
            <v>20</v>
          </cell>
          <cell r="BB39">
            <v>0</v>
          </cell>
          <cell r="BC39">
            <v>20</v>
          </cell>
          <cell r="BD39">
            <v>50</v>
          </cell>
          <cell r="BE39">
            <v>30</v>
          </cell>
          <cell r="BF39">
            <v>50</v>
          </cell>
          <cell r="BG39">
            <v>60</v>
          </cell>
          <cell r="BH39">
            <v>260</v>
          </cell>
          <cell r="BI39">
            <v>50</v>
          </cell>
          <cell r="BJ39">
            <v>0</v>
          </cell>
          <cell r="BK39">
            <v>0</v>
          </cell>
          <cell r="BL39">
            <v>20</v>
          </cell>
          <cell r="BM39">
            <v>70</v>
          </cell>
          <cell r="BN39">
            <v>0</v>
          </cell>
          <cell r="BO39">
            <v>20</v>
          </cell>
          <cell r="BP39">
            <v>20</v>
          </cell>
          <cell r="BQ39">
            <v>0</v>
          </cell>
          <cell r="BR39">
            <v>0</v>
          </cell>
          <cell r="BS39">
            <v>40</v>
          </cell>
          <cell r="BT39">
            <v>40</v>
          </cell>
          <cell r="BU39" t="e">
            <v>#REF!</v>
          </cell>
        </row>
        <row r="40">
          <cell r="C40" t="e">
            <v>#REF!</v>
          </cell>
          <cell r="D40" t="e">
            <v>#REF!</v>
          </cell>
          <cell r="E40" t="e">
            <v>#REF!</v>
          </cell>
          <cell r="F40">
            <v>0</v>
          </cell>
          <cell r="G40" t="e">
            <v>#REF!</v>
          </cell>
          <cell r="H40">
            <v>0</v>
          </cell>
          <cell r="I40" t="e">
            <v>#REF!</v>
          </cell>
          <cell r="J40" t="e">
            <v>#REF!</v>
          </cell>
          <cell r="K40">
            <v>0</v>
          </cell>
          <cell r="L40" t="e">
            <v>#REF!</v>
          </cell>
          <cell r="M40">
            <v>0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>
            <v>0</v>
          </cell>
          <cell r="S40">
            <v>0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>
            <v>0</v>
          </cell>
          <cell r="Z40" t="e">
            <v>#REF!</v>
          </cell>
          <cell r="AA40">
            <v>0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>
            <v>0</v>
          </cell>
          <cell r="AJ40">
            <v>0</v>
          </cell>
          <cell r="AK40">
            <v>0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  <cell r="AQ40">
            <v>0</v>
          </cell>
          <cell r="AR40">
            <v>0</v>
          </cell>
          <cell r="AS40" t="e">
            <v>#REF!</v>
          </cell>
          <cell r="AT40" t="e">
            <v>#REF!</v>
          </cell>
          <cell r="AU40" t="e">
            <v>#REF!</v>
          </cell>
          <cell r="AV40" t="e">
            <v>#REF!</v>
          </cell>
          <cell r="AW40" t="e">
            <v>#REF!</v>
          </cell>
          <cell r="AX40" t="e">
            <v>#REF!</v>
          </cell>
          <cell r="AY40" t="e">
            <v>#REF!</v>
          </cell>
          <cell r="AZ40">
            <v>30</v>
          </cell>
          <cell r="BA40">
            <v>20</v>
          </cell>
          <cell r="BB40">
            <v>20</v>
          </cell>
          <cell r="BC40">
            <v>30</v>
          </cell>
          <cell r="BD40">
            <v>60</v>
          </cell>
          <cell r="BE40">
            <v>50</v>
          </cell>
          <cell r="BF40">
            <v>50</v>
          </cell>
          <cell r="BG40">
            <v>30</v>
          </cell>
          <cell r="BH40">
            <v>290</v>
          </cell>
          <cell r="BI40">
            <v>50</v>
          </cell>
          <cell r="BJ40">
            <v>0</v>
          </cell>
          <cell r="BK40">
            <v>0</v>
          </cell>
          <cell r="BL40">
            <v>20</v>
          </cell>
          <cell r="BM40">
            <v>70</v>
          </cell>
          <cell r="BN40">
            <v>20</v>
          </cell>
          <cell r="BO40">
            <v>20</v>
          </cell>
          <cell r="BP40">
            <v>40</v>
          </cell>
          <cell r="BQ40">
            <v>0</v>
          </cell>
          <cell r="BR40">
            <v>0</v>
          </cell>
          <cell r="BS40">
            <v>20</v>
          </cell>
          <cell r="BT40">
            <v>20</v>
          </cell>
          <cell r="BU40" t="e">
            <v>#REF!</v>
          </cell>
        </row>
        <row r="41">
          <cell r="C41" t="e">
            <v>#REF!</v>
          </cell>
          <cell r="D41" t="e">
            <v>#REF!</v>
          </cell>
          <cell r="E41">
            <v>0</v>
          </cell>
          <cell r="F41" t="e">
            <v>#REF!</v>
          </cell>
          <cell r="G41" t="e">
            <v>#REF!</v>
          </cell>
          <cell r="H41" t="e">
            <v>#REF!</v>
          </cell>
          <cell r="I41">
            <v>0</v>
          </cell>
          <cell r="J41" t="e">
            <v>#REF!</v>
          </cell>
          <cell r="K41" t="e">
            <v>#REF!</v>
          </cell>
          <cell r="L41">
            <v>0</v>
          </cell>
          <cell r="M41">
            <v>0</v>
          </cell>
          <cell r="N41" t="e">
            <v>#REF!</v>
          </cell>
          <cell r="O41" t="e">
            <v>#REF!</v>
          </cell>
          <cell r="P41" t="e">
            <v>#REF!</v>
          </cell>
          <cell r="Q41">
            <v>0</v>
          </cell>
          <cell r="R41">
            <v>0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>
            <v>0</v>
          </cell>
          <cell r="Z41" t="e">
            <v>#REF!</v>
          </cell>
          <cell r="AA41">
            <v>0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>
            <v>0</v>
          </cell>
          <cell r="AK41" t="e">
            <v>#REF!</v>
          </cell>
          <cell r="AL41">
            <v>0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  <cell r="AQ41">
            <v>0</v>
          </cell>
          <cell r="AR41" t="e">
            <v>#REF!</v>
          </cell>
          <cell r="AS41" t="e">
            <v>#REF!</v>
          </cell>
          <cell r="AT41">
            <v>0</v>
          </cell>
          <cell r="AU41" t="e">
            <v>#REF!</v>
          </cell>
          <cell r="AV41" t="e">
            <v>#REF!</v>
          </cell>
          <cell r="AW41">
            <v>0</v>
          </cell>
          <cell r="AX41" t="e">
            <v>#REF!</v>
          </cell>
          <cell r="AY41" t="e">
            <v>#REF!</v>
          </cell>
          <cell r="AZ41">
            <v>30</v>
          </cell>
          <cell r="BA41">
            <v>60</v>
          </cell>
          <cell r="BB41">
            <v>20</v>
          </cell>
          <cell r="BC41">
            <v>20</v>
          </cell>
          <cell r="BD41">
            <v>50</v>
          </cell>
          <cell r="BE41">
            <v>30</v>
          </cell>
          <cell r="BF41">
            <v>30</v>
          </cell>
          <cell r="BG41">
            <v>20</v>
          </cell>
          <cell r="BH41">
            <v>260</v>
          </cell>
          <cell r="BI41">
            <v>60</v>
          </cell>
          <cell r="BJ41">
            <v>20</v>
          </cell>
          <cell r="BK41">
            <v>0</v>
          </cell>
          <cell r="BL41">
            <v>20</v>
          </cell>
          <cell r="BM41">
            <v>100</v>
          </cell>
          <cell r="BN41">
            <v>0</v>
          </cell>
          <cell r="BO41">
            <v>20</v>
          </cell>
          <cell r="BP41">
            <v>20</v>
          </cell>
          <cell r="BQ41">
            <v>0</v>
          </cell>
          <cell r="BR41">
            <v>0</v>
          </cell>
          <cell r="BS41">
            <v>20</v>
          </cell>
          <cell r="BT41">
            <v>20</v>
          </cell>
          <cell r="BU41" t="e">
            <v>#REF!</v>
          </cell>
        </row>
        <row r="42">
          <cell r="C42" t="e">
            <v>#REF!</v>
          </cell>
          <cell r="D42" t="e">
            <v>#REF!</v>
          </cell>
          <cell r="E42" t="e">
            <v>#REF!</v>
          </cell>
          <cell r="F42">
            <v>0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>
            <v>0</v>
          </cell>
          <cell r="L42">
            <v>0</v>
          </cell>
          <cell r="M42">
            <v>0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>
            <v>0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>
            <v>0</v>
          </cell>
          <cell r="Z42" t="e">
            <v>#REF!</v>
          </cell>
          <cell r="AA42">
            <v>0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>
            <v>0</v>
          </cell>
          <cell r="AI42" t="e">
            <v>#REF!</v>
          </cell>
          <cell r="AJ42" t="e">
            <v>#REF!</v>
          </cell>
          <cell r="AK42">
            <v>0</v>
          </cell>
          <cell r="AL42">
            <v>0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  <cell r="AQ42">
            <v>0</v>
          </cell>
          <cell r="AR42">
            <v>0</v>
          </cell>
          <cell r="AS42" t="e">
            <v>#REF!</v>
          </cell>
          <cell r="AT42" t="e">
            <v>#REF!</v>
          </cell>
          <cell r="AU42" t="e">
            <v>#REF!</v>
          </cell>
          <cell r="AV42" t="e">
            <v>#REF!</v>
          </cell>
          <cell r="AW42" t="e">
            <v>#REF!</v>
          </cell>
          <cell r="AX42" t="e">
            <v>#REF!</v>
          </cell>
          <cell r="AY42" t="e">
            <v>#REF!</v>
          </cell>
          <cell r="AZ42">
            <v>30</v>
          </cell>
          <cell r="BA42">
            <v>0</v>
          </cell>
          <cell r="BB42">
            <v>20</v>
          </cell>
          <cell r="BC42">
            <v>20</v>
          </cell>
          <cell r="BD42">
            <v>50</v>
          </cell>
          <cell r="BE42">
            <v>0</v>
          </cell>
          <cell r="BF42">
            <v>50</v>
          </cell>
          <cell r="BG42">
            <v>20</v>
          </cell>
          <cell r="BH42">
            <v>190</v>
          </cell>
          <cell r="BI42">
            <v>50</v>
          </cell>
          <cell r="BJ42">
            <v>0</v>
          </cell>
          <cell r="BK42">
            <v>0</v>
          </cell>
          <cell r="BL42">
            <v>20</v>
          </cell>
          <cell r="BM42">
            <v>70</v>
          </cell>
          <cell r="BN42">
            <v>35</v>
          </cell>
          <cell r="BO42">
            <v>20</v>
          </cell>
          <cell r="BP42">
            <v>55</v>
          </cell>
          <cell r="BQ42">
            <v>0</v>
          </cell>
          <cell r="BR42">
            <v>0</v>
          </cell>
          <cell r="BS42">
            <v>20</v>
          </cell>
          <cell r="BT42">
            <v>20</v>
          </cell>
          <cell r="BU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>
            <v>0</v>
          </cell>
          <cell r="I43" t="e">
            <v>#REF!</v>
          </cell>
          <cell r="J43">
            <v>0</v>
          </cell>
          <cell r="K43" t="e">
            <v>#REF!</v>
          </cell>
          <cell r="L43">
            <v>0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>
            <v>0</v>
          </cell>
          <cell r="R43">
            <v>0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>
            <v>0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 t="e">
            <v>#REF!</v>
          </cell>
          <cell r="AO43" t="e">
            <v>#REF!</v>
          </cell>
          <cell r="AP43" t="e">
            <v>#REF!</v>
          </cell>
          <cell r="AQ43">
            <v>0</v>
          </cell>
          <cell r="AR43">
            <v>0</v>
          </cell>
          <cell r="AS43" t="e">
            <v>#REF!</v>
          </cell>
          <cell r="AT43" t="e">
            <v>#REF!</v>
          </cell>
          <cell r="AU43" t="e">
            <v>#REF!</v>
          </cell>
          <cell r="AV43" t="e">
            <v>#REF!</v>
          </cell>
          <cell r="AW43">
            <v>0</v>
          </cell>
          <cell r="AX43" t="e">
            <v>#REF!</v>
          </cell>
          <cell r="AY43" t="e">
            <v>#REF!</v>
          </cell>
          <cell r="AZ43">
            <v>0</v>
          </cell>
          <cell r="BA43">
            <v>20</v>
          </cell>
          <cell r="BB43">
            <v>60</v>
          </cell>
          <cell r="BC43">
            <v>20</v>
          </cell>
          <cell r="BD43">
            <v>30</v>
          </cell>
          <cell r="BE43">
            <v>30</v>
          </cell>
          <cell r="BF43">
            <v>30</v>
          </cell>
          <cell r="BG43">
            <v>20</v>
          </cell>
          <cell r="BH43">
            <v>210</v>
          </cell>
          <cell r="BI43">
            <v>0</v>
          </cell>
          <cell r="BJ43">
            <v>0</v>
          </cell>
          <cell r="BK43">
            <v>0</v>
          </cell>
          <cell r="BL43">
            <v>20</v>
          </cell>
          <cell r="BM43">
            <v>20</v>
          </cell>
          <cell r="BN43">
            <v>20</v>
          </cell>
          <cell r="BO43">
            <v>70</v>
          </cell>
          <cell r="BP43">
            <v>90</v>
          </cell>
          <cell r="BQ43">
            <v>0</v>
          </cell>
          <cell r="BR43">
            <v>0</v>
          </cell>
          <cell r="BS43">
            <v>20</v>
          </cell>
          <cell r="BT43">
            <v>20</v>
          </cell>
          <cell r="BU43" t="e">
            <v>#REF!</v>
          </cell>
        </row>
        <row r="44">
          <cell r="C44" t="e">
            <v>#REF!</v>
          </cell>
          <cell r="D44" t="e">
            <v>#REF!</v>
          </cell>
          <cell r="E44">
            <v>0</v>
          </cell>
          <cell r="F44" t="e">
            <v>#REF!</v>
          </cell>
          <cell r="G44" t="e">
            <v>#REF!</v>
          </cell>
          <cell r="H44">
            <v>0</v>
          </cell>
          <cell r="I44" t="e">
            <v>#REF!</v>
          </cell>
          <cell r="J44" t="e">
            <v>#REF!</v>
          </cell>
          <cell r="K44">
            <v>0</v>
          </cell>
          <cell r="L44" t="e">
            <v>#REF!</v>
          </cell>
          <cell r="M44" t="e">
            <v>#REF!</v>
          </cell>
          <cell r="N44">
            <v>0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>
            <v>0</v>
          </cell>
          <cell r="Y44">
            <v>0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>
            <v>0</v>
          </cell>
          <cell r="AH44" t="e">
            <v>#REF!</v>
          </cell>
          <cell r="AI44" t="e">
            <v>#REF!</v>
          </cell>
          <cell r="AJ44" t="e">
            <v>#REF!</v>
          </cell>
          <cell r="AK44">
            <v>0</v>
          </cell>
          <cell r="AL44">
            <v>0</v>
          </cell>
          <cell r="AM44">
            <v>0</v>
          </cell>
          <cell r="AN44" t="e">
            <v>#REF!</v>
          </cell>
          <cell r="AO44" t="e">
            <v>#REF!</v>
          </cell>
          <cell r="AP44" t="e">
            <v>#REF!</v>
          </cell>
          <cell r="AQ44">
            <v>0</v>
          </cell>
          <cell r="AR44" t="e">
            <v>#REF!</v>
          </cell>
          <cell r="AS44" t="e">
            <v>#REF!</v>
          </cell>
          <cell r="AT44" t="e">
            <v>#REF!</v>
          </cell>
          <cell r="AU44" t="e">
            <v>#REF!</v>
          </cell>
          <cell r="AV44" t="e">
            <v>#REF!</v>
          </cell>
          <cell r="AW44" t="e">
            <v>#REF!</v>
          </cell>
          <cell r="AX44" t="e">
            <v>#REF!</v>
          </cell>
          <cell r="AY44" t="e">
            <v>#REF!</v>
          </cell>
          <cell r="AZ44">
            <v>0</v>
          </cell>
          <cell r="BA44">
            <v>0</v>
          </cell>
          <cell r="BB44">
            <v>60</v>
          </cell>
          <cell r="BC44">
            <v>0</v>
          </cell>
          <cell r="BD44">
            <v>50</v>
          </cell>
          <cell r="BE44">
            <v>30</v>
          </cell>
          <cell r="BF44">
            <v>50</v>
          </cell>
          <cell r="BG44">
            <v>60</v>
          </cell>
          <cell r="BH44">
            <v>250</v>
          </cell>
          <cell r="BI44">
            <v>0</v>
          </cell>
          <cell r="BJ44">
            <v>0</v>
          </cell>
          <cell r="BK44">
            <v>0</v>
          </cell>
          <cell r="BL44">
            <v>60</v>
          </cell>
          <cell r="BM44">
            <v>60</v>
          </cell>
          <cell r="BN44">
            <v>0</v>
          </cell>
          <cell r="BO44">
            <v>0</v>
          </cell>
          <cell r="BP44">
            <v>0</v>
          </cell>
          <cell r="BQ44">
            <v>55</v>
          </cell>
          <cell r="BR44">
            <v>55</v>
          </cell>
          <cell r="BS44">
            <v>20</v>
          </cell>
          <cell r="BT44">
            <v>20</v>
          </cell>
          <cell r="BU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F45">
            <v>0</v>
          </cell>
          <cell r="G45" t="e">
            <v>#REF!</v>
          </cell>
          <cell r="H45">
            <v>0</v>
          </cell>
          <cell r="I45" t="e">
            <v>#REF!</v>
          </cell>
          <cell r="J45" t="e">
            <v>#REF!</v>
          </cell>
          <cell r="K45">
            <v>0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>
            <v>0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>
            <v>0</v>
          </cell>
          <cell r="Z45" t="e">
            <v>#REF!</v>
          </cell>
          <cell r="AA45">
            <v>0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>
            <v>0</v>
          </cell>
          <cell r="AK45">
            <v>0</v>
          </cell>
          <cell r="AL45" t="e">
            <v>#REF!</v>
          </cell>
          <cell r="AM45">
            <v>0</v>
          </cell>
          <cell r="AN45" t="e">
            <v>#REF!</v>
          </cell>
          <cell r="AO45" t="e">
            <v>#REF!</v>
          </cell>
          <cell r="AP45" t="e">
            <v>#REF!</v>
          </cell>
          <cell r="AQ45">
            <v>0</v>
          </cell>
          <cell r="AR45" t="e">
            <v>#REF!</v>
          </cell>
          <cell r="AS45" t="e">
            <v>#REF!</v>
          </cell>
          <cell r="AT45" t="e">
            <v>#REF!</v>
          </cell>
          <cell r="AU45" t="e">
            <v>#REF!</v>
          </cell>
          <cell r="AV45" t="e">
            <v>#REF!</v>
          </cell>
          <cell r="AW45">
            <v>0</v>
          </cell>
          <cell r="AX45" t="e">
            <v>#REF!</v>
          </cell>
          <cell r="AY45" t="e">
            <v>#REF!</v>
          </cell>
          <cell r="AZ45">
            <v>30</v>
          </cell>
          <cell r="BA45">
            <v>20</v>
          </cell>
          <cell r="BB45">
            <v>0</v>
          </cell>
          <cell r="BC45">
            <v>20</v>
          </cell>
          <cell r="BD45">
            <v>50</v>
          </cell>
          <cell r="BE45">
            <v>60</v>
          </cell>
          <cell r="BF45">
            <v>30</v>
          </cell>
          <cell r="BG45">
            <v>20</v>
          </cell>
          <cell r="BH45">
            <v>230</v>
          </cell>
          <cell r="BI45">
            <v>0</v>
          </cell>
          <cell r="BJ45">
            <v>20</v>
          </cell>
          <cell r="BK45">
            <v>0</v>
          </cell>
          <cell r="BL45">
            <v>20</v>
          </cell>
          <cell r="BM45">
            <v>40</v>
          </cell>
          <cell r="BN45">
            <v>20</v>
          </cell>
          <cell r="BO45">
            <v>20</v>
          </cell>
          <cell r="BP45">
            <v>40</v>
          </cell>
          <cell r="BQ45">
            <v>35</v>
          </cell>
          <cell r="BR45">
            <v>35</v>
          </cell>
          <cell r="BS45">
            <v>60</v>
          </cell>
          <cell r="BT45">
            <v>60</v>
          </cell>
          <cell r="BU45" t="e">
            <v>#REF!</v>
          </cell>
        </row>
        <row r="46">
          <cell r="C46" t="e">
            <v>#REF!</v>
          </cell>
          <cell r="D46" t="e">
            <v>#REF!</v>
          </cell>
          <cell r="E46">
            <v>0</v>
          </cell>
          <cell r="F46" t="e">
            <v>#REF!</v>
          </cell>
          <cell r="G46" t="e">
            <v>#REF!</v>
          </cell>
          <cell r="H46">
            <v>0</v>
          </cell>
          <cell r="I46">
            <v>0</v>
          </cell>
          <cell r="J46" t="e">
            <v>#REF!</v>
          </cell>
          <cell r="K46">
            <v>0</v>
          </cell>
          <cell r="L46" t="e">
            <v>#REF!</v>
          </cell>
          <cell r="M46">
            <v>0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>
            <v>0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>
            <v>0</v>
          </cell>
          <cell r="Z46" t="e">
            <v>#REF!</v>
          </cell>
          <cell r="AA46">
            <v>0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>
            <v>0</v>
          </cell>
          <cell r="AM46" t="e">
            <v>#REF!</v>
          </cell>
          <cell r="AN46">
            <v>0</v>
          </cell>
          <cell r="AO46">
            <v>0</v>
          </cell>
          <cell r="AP46" t="e">
            <v>#REF!</v>
          </cell>
          <cell r="AQ46">
            <v>0</v>
          </cell>
          <cell r="AR46">
            <v>0</v>
          </cell>
          <cell r="AS46" t="e">
            <v>#REF!</v>
          </cell>
          <cell r="AT46">
            <v>0</v>
          </cell>
          <cell r="AU46" t="e">
            <v>#REF!</v>
          </cell>
          <cell r="AV46" t="e">
            <v>#REF!</v>
          </cell>
          <cell r="AW46">
            <v>0</v>
          </cell>
          <cell r="AX46" t="e">
            <v>#REF!</v>
          </cell>
          <cell r="AY46" t="e">
            <v>#REF!</v>
          </cell>
          <cell r="AZ46">
            <v>30</v>
          </cell>
          <cell r="BA46">
            <v>0</v>
          </cell>
          <cell r="BB46">
            <v>0</v>
          </cell>
          <cell r="BC46">
            <v>0</v>
          </cell>
          <cell r="BD46">
            <v>50</v>
          </cell>
          <cell r="BE46">
            <v>50</v>
          </cell>
          <cell r="BF46">
            <v>30</v>
          </cell>
          <cell r="BG46">
            <v>30</v>
          </cell>
          <cell r="BH46">
            <v>190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35</v>
          </cell>
          <cell r="BO46">
            <v>0</v>
          </cell>
          <cell r="BP46">
            <v>35</v>
          </cell>
          <cell r="BQ46">
            <v>35</v>
          </cell>
          <cell r="BR46">
            <v>35</v>
          </cell>
          <cell r="BS46">
            <v>40</v>
          </cell>
          <cell r="BT46">
            <v>40</v>
          </cell>
          <cell r="BU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F47">
            <v>0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>
            <v>0</v>
          </cell>
          <cell r="L47">
            <v>0</v>
          </cell>
          <cell r="M47">
            <v>0</v>
          </cell>
          <cell r="N47" t="e">
            <v>#REF!</v>
          </cell>
          <cell r="O47" t="e">
            <v>#REF!</v>
          </cell>
          <cell r="P47" t="e">
            <v>#REF!</v>
          </cell>
          <cell r="Q47">
            <v>0</v>
          </cell>
          <cell r="R47">
            <v>0</v>
          </cell>
          <cell r="S47">
            <v>0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>
            <v>0</v>
          </cell>
          <cell r="Y47">
            <v>0</v>
          </cell>
          <cell r="Z47" t="e">
            <v>#REF!</v>
          </cell>
          <cell r="AA47">
            <v>0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>
            <v>0</v>
          </cell>
          <cell r="AI47" t="e">
            <v>#REF!</v>
          </cell>
          <cell r="AJ47">
            <v>0</v>
          </cell>
          <cell r="AK47" t="e">
            <v>#REF!</v>
          </cell>
          <cell r="AL47">
            <v>0</v>
          </cell>
          <cell r="AM47">
            <v>0</v>
          </cell>
          <cell r="AN47" t="e">
            <v>#REF!</v>
          </cell>
          <cell r="AO47" t="e">
            <v>#REF!</v>
          </cell>
          <cell r="AP47" t="e">
            <v>#REF!</v>
          </cell>
          <cell r="AQ47">
            <v>0</v>
          </cell>
          <cell r="AR47">
            <v>0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>
            <v>50</v>
          </cell>
          <cell r="BA47">
            <v>20</v>
          </cell>
          <cell r="BB47">
            <v>20</v>
          </cell>
          <cell r="BC47">
            <v>20</v>
          </cell>
          <cell r="BD47">
            <v>50</v>
          </cell>
          <cell r="BE47">
            <v>30</v>
          </cell>
          <cell r="BF47">
            <v>30</v>
          </cell>
          <cell r="BG47">
            <v>20</v>
          </cell>
          <cell r="BH47">
            <v>240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20</v>
          </cell>
          <cell r="BO47">
            <v>20</v>
          </cell>
          <cell r="BP47">
            <v>40</v>
          </cell>
          <cell r="BQ47">
            <v>20</v>
          </cell>
          <cell r="BR47">
            <v>20</v>
          </cell>
          <cell r="BS47">
            <v>40</v>
          </cell>
          <cell r="BT47">
            <v>40</v>
          </cell>
          <cell r="BU47" t="e">
            <v>#REF!</v>
          </cell>
        </row>
        <row r="48">
          <cell r="C48" t="e">
            <v>#REF!</v>
          </cell>
          <cell r="D48" t="e">
            <v>#REF!</v>
          </cell>
          <cell r="E48" t="e">
            <v>#REF!</v>
          </cell>
          <cell r="F48">
            <v>0</v>
          </cell>
          <cell r="G48" t="e">
            <v>#REF!</v>
          </cell>
          <cell r="H48" t="e">
            <v>#REF!</v>
          </cell>
          <cell r="I48" t="e">
            <v>#REF!</v>
          </cell>
          <cell r="J48">
            <v>0</v>
          </cell>
          <cell r="K48">
            <v>0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>
            <v>0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>
            <v>0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>
            <v>0</v>
          </cell>
          <cell r="AJ48">
            <v>0</v>
          </cell>
          <cell r="AK48">
            <v>0</v>
          </cell>
          <cell r="AL48" t="e">
            <v>#REF!</v>
          </cell>
          <cell r="AM48" t="e">
            <v>#REF!</v>
          </cell>
          <cell r="AN48">
            <v>0</v>
          </cell>
          <cell r="AO48" t="e">
            <v>#REF!</v>
          </cell>
          <cell r="AP48" t="e">
            <v>#REF!</v>
          </cell>
          <cell r="AQ48">
            <v>0</v>
          </cell>
          <cell r="AR48" t="e">
            <v>#REF!</v>
          </cell>
          <cell r="AS48" t="e">
            <v>#REF!</v>
          </cell>
          <cell r="AT48">
            <v>0</v>
          </cell>
          <cell r="AU48" t="e">
            <v>#REF!</v>
          </cell>
          <cell r="AV48">
            <v>0</v>
          </cell>
          <cell r="AW48" t="e">
            <v>#REF!</v>
          </cell>
          <cell r="AX48" t="e">
            <v>#REF!</v>
          </cell>
          <cell r="AY48" t="e">
            <v>#REF!</v>
          </cell>
          <cell r="AZ48">
            <v>0</v>
          </cell>
          <cell r="BA48">
            <v>30</v>
          </cell>
          <cell r="BB48">
            <v>0</v>
          </cell>
          <cell r="BC48">
            <v>20</v>
          </cell>
          <cell r="BD48">
            <v>30</v>
          </cell>
          <cell r="BE48">
            <v>30</v>
          </cell>
          <cell r="BF48">
            <v>30</v>
          </cell>
          <cell r="BG48">
            <v>20</v>
          </cell>
          <cell r="BH48">
            <v>160</v>
          </cell>
          <cell r="BI48">
            <v>30</v>
          </cell>
          <cell r="BJ48">
            <v>20</v>
          </cell>
          <cell r="BK48">
            <v>50</v>
          </cell>
          <cell r="BL48">
            <v>0</v>
          </cell>
          <cell r="BM48">
            <v>100</v>
          </cell>
          <cell r="BN48">
            <v>70</v>
          </cell>
          <cell r="BO48">
            <v>20</v>
          </cell>
          <cell r="BP48">
            <v>90</v>
          </cell>
          <cell r="BQ48">
            <v>35</v>
          </cell>
          <cell r="BR48">
            <v>35</v>
          </cell>
          <cell r="BS48">
            <v>40</v>
          </cell>
          <cell r="BT48">
            <v>40</v>
          </cell>
          <cell r="BU48" t="e">
            <v>#REF!</v>
          </cell>
        </row>
        <row r="49">
          <cell r="C49" t="e">
            <v>#REF!</v>
          </cell>
          <cell r="D49">
            <v>0</v>
          </cell>
          <cell r="E49">
            <v>0</v>
          </cell>
          <cell r="F49">
            <v>0</v>
          </cell>
          <cell r="G49" t="e">
            <v>#REF!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 t="e">
            <v>#REF!</v>
          </cell>
          <cell r="M49">
            <v>0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>
            <v>0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>
            <v>0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>
            <v>0</v>
          </cell>
          <cell r="AH49" t="e">
            <v>#REF!</v>
          </cell>
          <cell r="AI49" t="e">
            <v>#REF!</v>
          </cell>
          <cell r="AJ49">
            <v>0</v>
          </cell>
          <cell r="AK49">
            <v>0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>
            <v>0</v>
          </cell>
          <cell r="AQ49">
            <v>0</v>
          </cell>
          <cell r="AR49">
            <v>0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>
            <v>30</v>
          </cell>
          <cell r="BA49">
            <v>20</v>
          </cell>
          <cell r="BB49">
            <v>20</v>
          </cell>
          <cell r="BC49">
            <v>60</v>
          </cell>
          <cell r="BD49">
            <v>30</v>
          </cell>
          <cell r="BE49">
            <v>50</v>
          </cell>
          <cell r="BF49">
            <v>30</v>
          </cell>
          <cell r="BG49">
            <v>20</v>
          </cell>
          <cell r="BH49">
            <v>260</v>
          </cell>
          <cell r="BI49">
            <v>20</v>
          </cell>
          <cell r="BJ49">
            <v>0</v>
          </cell>
          <cell r="BK49">
            <v>50</v>
          </cell>
          <cell r="BL49">
            <v>60</v>
          </cell>
          <cell r="BM49">
            <v>130</v>
          </cell>
          <cell r="BN49">
            <v>0</v>
          </cell>
          <cell r="BO49">
            <v>70</v>
          </cell>
          <cell r="BP49">
            <v>70</v>
          </cell>
          <cell r="BQ49">
            <v>0</v>
          </cell>
          <cell r="BR49">
            <v>0</v>
          </cell>
          <cell r="BS49">
            <v>40</v>
          </cell>
          <cell r="BT49">
            <v>40</v>
          </cell>
          <cell r="BU49" t="e">
            <v>#REF!</v>
          </cell>
        </row>
        <row r="50">
          <cell r="C50" t="e">
            <v>#REF!</v>
          </cell>
          <cell r="D50" t="e">
            <v>#REF!</v>
          </cell>
          <cell r="E50" t="e">
            <v>#REF!</v>
          </cell>
          <cell r="F50">
            <v>0</v>
          </cell>
          <cell r="G50" t="e">
            <v>#REF!</v>
          </cell>
          <cell r="H50">
            <v>0</v>
          </cell>
          <cell r="I50" t="e">
            <v>#REF!</v>
          </cell>
          <cell r="J50" t="e">
            <v>#REF!</v>
          </cell>
          <cell r="K50">
            <v>0</v>
          </cell>
          <cell r="L50">
            <v>0</v>
          </cell>
          <cell r="M50">
            <v>0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>
            <v>0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>
            <v>0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>
            <v>0</v>
          </cell>
          <cell r="AI50" t="e">
            <v>#REF!</v>
          </cell>
          <cell r="AJ50">
            <v>0</v>
          </cell>
          <cell r="AK50">
            <v>0</v>
          </cell>
          <cell r="AL50">
            <v>0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  <cell r="AQ50">
            <v>0</v>
          </cell>
          <cell r="AR50">
            <v>0</v>
          </cell>
          <cell r="AS50" t="e">
            <v>#REF!</v>
          </cell>
          <cell r="AT50" t="e">
            <v>#REF!</v>
          </cell>
          <cell r="AU50" t="e">
            <v>#REF!</v>
          </cell>
          <cell r="AV50">
            <v>0</v>
          </cell>
          <cell r="AW50" t="e">
            <v>#REF!</v>
          </cell>
          <cell r="AX50" t="e">
            <v>#REF!</v>
          </cell>
          <cell r="AY50" t="e">
            <v>#REF!</v>
          </cell>
          <cell r="AZ50">
            <v>30</v>
          </cell>
          <cell r="BA50">
            <v>20</v>
          </cell>
          <cell r="BB50">
            <v>0</v>
          </cell>
          <cell r="BC50">
            <v>20</v>
          </cell>
          <cell r="BD50">
            <v>60</v>
          </cell>
          <cell r="BE50">
            <v>30</v>
          </cell>
          <cell r="BF50">
            <v>50</v>
          </cell>
          <cell r="BG50">
            <v>60</v>
          </cell>
          <cell r="BH50">
            <v>270</v>
          </cell>
          <cell r="BI50">
            <v>60</v>
          </cell>
          <cell r="BJ50">
            <v>0</v>
          </cell>
          <cell r="BK50">
            <v>0</v>
          </cell>
          <cell r="BL50">
            <v>60</v>
          </cell>
          <cell r="BM50">
            <v>120</v>
          </cell>
          <cell r="BN50">
            <v>20</v>
          </cell>
          <cell r="BO50">
            <v>20</v>
          </cell>
          <cell r="BP50">
            <v>40</v>
          </cell>
          <cell r="BQ50">
            <v>0</v>
          </cell>
          <cell r="BR50">
            <v>0</v>
          </cell>
          <cell r="BS50">
            <v>40</v>
          </cell>
          <cell r="BT50">
            <v>40</v>
          </cell>
          <cell r="BU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F51">
            <v>0</v>
          </cell>
          <cell r="G51" t="e">
            <v>#REF!</v>
          </cell>
          <cell r="H51">
            <v>0</v>
          </cell>
          <cell r="I51" t="e">
            <v>#REF!</v>
          </cell>
          <cell r="J51" t="e">
            <v>#REF!</v>
          </cell>
          <cell r="K51">
            <v>0</v>
          </cell>
          <cell r="L51" t="e">
            <v>#REF!</v>
          </cell>
          <cell r="M51" t="e">
            <v>#REF!</v>
          </cell>
          <cell r="N51">
            <v>0</v>
          </cell>
          <cell r="O51" t="e">
            <v>#REF!</v>
          </cell>
          <cell r="P51" t="e">
            <v>#REF!</v>
          </cell>
          <cell r="Q51">
            <v>0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>
            <v>0</v>
          </cell>
          <cell r="Z51" t="e">
            <v>#REF!</v>
          </cell>
          <cell r="AA51">
            <v>0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>
            <v>0</v>
          </cell>
          <cell r="AI51">
            <v>0</v>
          </cell>
          <cell r="AJ51" t="e">
            <v>#REF!</v>
          </cell>
          <cell r="AK51" t="e">
            <v>#REF!</v>
          </cell>
          <cell r="AL51">
            <v>0</v>
          </cell>
          <cell r="AM51">
            <v>0</v>
          </cell>
          <cell r="AN51" t="e">
            <v>#REF!</v>
          </cell>
          <cell r="AO51" t="e">
            <v>#REF!</v>
          </cell>
          <cell r="AP51" t="e">
            <v>#REF!</v>
          </cell>
          <cell r="AQ51">
            <v>0</v>
          </cell>
          <cell r="AR51">
            <v>0</v>
          </cell>
          <cell r="AS51" t="e">
            <v>#REF!</v>
          </cell>
          <cell r="AT51" t="e">
            <v>#REF!</v>
          </cell>
          <cell r="AU51">
            <v>0</v>
          </cell>
          <cell r="AV51" t="e">
            <v>#REF!</v>
          </cell>
          <cell r="AW51">
            <v>0</v>
          </cell>
          <cell r="AX51">
            <v>0</v>
          </cell>
          <cell r="AY51" t="e">
            <v>#REF!</v>
          </cell>
          <cell r="AZ51">
            <v>30</v>
          </cell>
          <cell r="BA51">
            <v>20</v>
          </cell>
          <cell r="BB51">
            <v>20</v>
          </cell>
          <cell r="BC51">
            <v>0</v>
          </cell>
          <cell r="BD51">
            <v>30</v>
          </cell>
          <cell r="BE51">
            <v>30</v>
          </cell>
          <cell r="BF51">
            <v>30</v>
          </cell>
          <cell r="BG51">
            <v>20</v>
          </cell>
          <cell r="BH51">
            <v>180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>
            <v>20</v>
          </cell>
          <cell r="BN51">
            <v>20</v>
          </cell>
          <cell r="BO51">
            <v>0</v>
          </cell>
          <cell r="BP51">
            <v>20</v>
          </cell>
          <cell r="BQ51">
            <v>20</v>
          </cell>
          <cell r="BR51">
            <v>20</v>
          </cell>
          <cell r="BS51">
            <v>0</v>
          </cell>
          <cell r="BT51">
            <v>0</v>
          </cell>
          <cell r="BU51" t="e">
            <v>#REF!</v>
          </cell>
        </row>
        <row r="52">
          <cell r="C52" t="e">
            <v>#REF!</v>
          </cell>
          <cell r="D52" t="e">
            <v>#REF!</v>
          </cell>
          <cell r="E52" t="e">
            <v>#REF!</v>
          </cell>
          <cell r="F52">
            <v>0</v>
          </cell>
          <cell r="G52" t="e">
            <v>#REF!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 t="e">
            <v>#REF!</v>
          </cell>
          <cell r="M52" t="e">
            <v>#REF!</v>
          </cell>
          <cell r="N52" t="e">
            <v>#REF!</v>
          </cell>
          <cell r="O52">
            <v>0</v>
          </cell>
          <cell r="P52" t="e">
            <v>#REF!</v>
          </cell>
          <cell r="Q52" t="e">
            <v>#REF!</v>
          </cell>
          <cell r="R52">
            <v>0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>
            <v>0</v>
          </cell>
          <cell r="Z52" t="e">
            <v>#REF!</v>
          </cell>
          <cell r="AA52">
            <v>0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>
            <v>0</v>
          </cell>
          <cell r="AH52" t="e">
            <v>#REF!</v>
          </cell>
          <cell r="AI52" t="e">
            <v>#REF!</v>
          </cell>
          <cell r="AJ52" t="e">
            <v>#REF!</v>
          </cell>
          <cell r="AK52">
            <v>0</v>
          </cell>
          <cell r="AL52">
            <v>0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  <cell r="AQ52">
            <v>0</v>
          </cell>
          <cell r="AR52">
            <v>0</v>
          </cell>
          <cell r="AS52" t="e">
            <v>#REF!</v>
          </cell>
          <cell r="AT52" t="e">
            <v>#REF!</v>
          </cell>
          <cell r="AU52" t="e">
            <v>#REF!</v>
          </cell>
          <cell r="AV52" t="e">
            <v>#REF!</v>
          </cell>
          <cell r="AW52">
            <v>0</v>
          </cell>
          <cell r="AX52" t="e">
            <v>#REF!</v>
          </cell>
          <cell r="AY52" t="e">
            <v>#REF!</v>
          </cell>
          <cell r="AZ52">
            <v>30</v>
          </cell>
          <cell r="BA52">
            <v>0</v>
          </cell>
          <cell r="BB52">
            <v>20</v>
          </cell>
          <cell r="BC52">
            <v>20</v>
          </cell>
          <cell r="BD52">
            <v>50</v>
          </cell>
          <cell r="BE52">
            <v>0</v>
          </cell>
          <cell r="BF52">
            <v>50</v>
          </cell>
          <cell r="BG52">
            <v>20</v>
          </cell>
          <cell r="BH52">
            <v>190</v>
          </cell>
          <cell r="BI52">
            <v>50</v>
          </cell>
          <cell r="BJ52">
            <v>0</v>
          </cell>
          <cell r="BK52">
            <v>0</v>
          </cell>
          <cell r="BL52">
            <v>20</v>
          </cell>
          <cell r="BM52">
            <v>70</v>
          </cell>
          <cell r="BN52">
            <v>35</v>
          </cell>
          <cell r="BO52">
            <v>20</v>
          </cell>
          <cell r="BP52">
            <v>55</v>
          </cell>
          <cell r="BQ52">
            <v>70</v>
          </cell>
          <cell r="BR52">
            <v>70</v>
          </cell>
          <cell r="BS52">
            <v>0</v>
          </cell>
          <cell r="BT52">
            <v>0</v>
          </cell>
          <cell r="BU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>
            <v>0</v>
          </cell>
          <cell r="I53" t="e">
            <v>#REF!</v>
          </cell>
          <cell r="J53" t="e">
            <v>#REF!</v>
          </cell>
          <cell r="K53" t="e">
            <v>#REF!</v>
          </cell>
          <cell r="L53">
            <v>0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>
            <v>0</v>
          </cell>
          <cell r="R53">
            <v>0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 t="e">
            <v>#REF!</v>
          </cell>
          <cell r="AO53" t="e">
            <v>#REF!</v>
          </cell>
          <cell r="AP53" t="e">
            <v>#REF!</v>
          </cell>
          <cell r="AQ53">
            <v>0</v>
          </cell>
          <cell r="AR53">
            <v>0</v>
          </cell>
          <cell r="AS53" t="e">
            <v>#REF!</v>
          </cell>
          <cell r="AT53" t="e">
            <v>#REF!</v>
          </cell>
          <cell r="AU53" t="e">
            <v>#REF!</v>
          </cell>
          <cell r="AV53" t="e">
            <v>#REF!</v>
          </cell>
          <cell r="AW53" t="e">
            <v>#REF!</v>
          </cell>
          <cell r="AX53">
            <v>0</v>
          </cell>
          <cell r="AY53" t="e">
            <v>#REF!</v>
          </cell>
          <cell r="AZ53">
            <v>30</v>
          </cell>
          <cell r="BA53">
            <v>60</v>
          </cell>
          <cell r="BB53">
            <v>0</v>
          </cell>
          <cell r="BC53">
            <v>20</v>
          </cell>
          <cell r="BD53">
            <v>60</v>
          </cell>
          <cell r="BE53">
            <v>20</v>
          </cell>
          <cell r="BF53">
            <v>30</v>
          </cell>
          <cell r="BG53">
            <v>0</v>
          </cell>
          <cell r="BH53">
            <v>220</v>
          </cell>
          <cell r="BI53">
            <v>30</v>
          </cell>
          <cell r="BJ53">
            <v>0</v>
          </cell>
          <cell r="BK53">
            <v>0</v>
          </cell>
          <cell r="BL53">
            <v>30</v>
          </cell>
          <cell r="BM53">
            <v>60</v>
          </cell>
          <cell r="BN53">
            <v>20</v>
          </cell>
          <cell r="BO53">
            <v>0</v>
          </cell>
          <cell r="BP53">
            <v>20</v>
          </cell>
          <cell r="BQ53">
            <v>0</v>
          </cell>
          <cell r="BR53">
            <v>0</v>
          </cell>
          <cell r="BS53">
            <v>60</v>
          </cell>
          <cell r="BT53">
            <v>60</v>
          </cell>
          <cell r="BU53" t="e">
            <v>#REF!</v>
          </cell>
        </row>
        <row r="54">
          <cell r="C54" t="e">
            <v>#REF!</v>
          </cell>
          <cell r="D54" t="e">
            <v>#REF!</v>
          </cell>
          <cell r="E54">
            <v>0</v>
          </cell>
          <cell r="F54">
            <v>0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>
            <v>0</v>
          </cell>
          <cell r="L54">
            <v>0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>
            <v>0</v>
          </cell>
          <cell r="R54">
            <v>0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>
            <v>0</v>
          </cell>
          <cell r="Y54">
            <v>0</v>
          </cell>
          <cell r="Z54" t="e">
            <v>#REF!</v>
          </cell>
          <cell r="AA54">
            <v>0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>
            <v>0</v>
          </cell>
          <cell r="AI54">
            <v>0</v>
          </cell>
          <cell r="AJ54" t="e">
            <v>#REF!</v>
          </cell>
          <cell r="AK54" t="e">
            <v>#REF!</v>
          </cell>
          <cell r="AL54">
            <v>0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  <cell r="AQ54">
            <v>0</v>
          </cell>
          <cell r="AR54">
            <v>0</v>
          </cell>
          <cell r="AS54" t="e">
            <v>#REF!</v>
          </cell>
          <cell r="AT54" t="e">
            <v>#REF!</v>
          </cell>
          <cell r="AU54" t="e">
            <v>#REF!</v>
          </cell>
          <cell r="AV54" t="e">
            <v>#REF!</v>
          </cell>
          <cell r="AW54" t="e">
            <v>#REF!</v>
          </cell>
          <cell r="AX54" t="e">
            <v>#REF!</v>
          </cell>
          <cell r="AY54" t="e">
            <v>#REF!</v>
          </cell>
          <cell r="AZ54">
            <v>30</v>
          </cell>
          <cell r="BA54">
            <v>0</v>
          </cell>
          <cell r="BB54">
            <v>0</v>
          </cell>
          <cell r="BC54">
            <v>0</v>
          </cell>
          <cell r="BD54">
            <v>50</v>
          </cell>
          <cell r="BE54">
            <v>20</v>
          </cell>
          <cell r="BF54">
            <v>30</v>
          </cell>
          <cell r="BG54">
            <v>20</v>
          </cell>
          <cell r="BH54">
            <v>150</v>
          </cell>
          <cell r="BI54">
            <v>50</v>
          </cell>
          <cell r="BJ54">
            <v>0</v>
          </cell>
          <cell r="BK54">
            <v>0</v>
          </cell>
          <cell r="BL54">
            <v>30</v>
          </cell>
          <cell r="BM54">
            <v>80</v>
          </cell>
          <cell r="BN54">
            <v>20</v>
          </cell>
          <cell r="BO54">
            <v>20</v>
          </cell>
          <cell r="BP54">
            <v>40</v>
          </cell>
          <cell r="BQ54">
            <v>20</v>
          </cell>
          <cell r="BR54">
            <v>20</v>
          </cell>
          <cell r="BS54">
            <v>0</v>
          </cell>
          <cell r="BT54">
            <v>0</v>
          </cell>
          <cell r="BU54" t="e">
            <v>#REF!</v>
          </cell>
        </row>
      </sheetData>
      <sheetData sheetId="11"/>
      <sheetData sheetId="12">
        <row r="1">
          <cell r="A1" t="str">
            <v>Form.No.</v>
          </cell>
          <cell r="B1" t="str">
            <v>Fase:</v>
          </cell>
          <cell r="C1" t="str">
            <v>1GA</v>
          </cell>
          <cell r="D1" t="str">
            <v>1GB</v>
          </cell>
          <cell r="E1" t="str">
            <v>1GC</v>
          </cell>
          <cell r="F1" t="str">
            <v>1GD</v>
          </cell>
          <cell r="G1" t="str">
            <v>1GE</v>
          </cell>
          <cell r="H1" t="str">
            <v>1GF</v>
          </cell>
          <cell r="I1" t="str">
            <v>1GG</v>
          </cell>
          <cell r="J1" t="str">
            <v>1GH</v>
          </cell>
          <cell r="K1" t="str">
            <v>8vos</v>
          </cell>
          <cell r="L1" t="str">
            <v>CF1</v>
          </cell>
          <cell r="M1" t="str">
            <v>CF2</v>
          </cell>
          <cell r="N1" t="str">
            <v>CF3</v>
          </cell>
          <cell r="O1" t="str">
            <v>CF4</v>
          </cell>
          <cell r="P1" t="str">
            <v>4tos</v>
          </cell>
          <cell r="Q1" t="str">
            <v>SF1</v>
          </cell>
          <cell r="R1" t="str">
            <v>SF2</v>
          </cell>
          <cell r="S1" t="str">
            <v>Esem</v>
          </cell>
          <cell r="T1" t="str">
            <v>PSF</v>
          </cell>
          <cell r="U1" t="str">
            <v>GSF</v>
          </cell>
          <cell r="V1" t="str">
            <v>Efin</v>
          </cell>
          <cell r="W1" t="str">
            <v>CHO</v>
          </cell>
          <cell r="X1" t="str">
            <v>Total</v>
          </cell>
        </row>
        <row r="2">
          <cell r="B2" t="str">
            <v>No. Aciertos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Puntos Equipos</v>
          </cell>
          <cell r="L2">
            <v>20</v>
          </cell>
          <cell r="M2">
            <v>24</v>
          </cell>
          <cell r="N2">
            <v>0</v>
          </cell>
          <cell r="O2">
            <v>0</v>
          </cell>
          <cell r="P2" t="str">
            <v>Puntos Equipos</v>
          </cell>
          <cell r="Q2">
            <v>0</v>
          </cell>
          <cell r="R2">
            <v>0</v>
          </cell>
          <cell r="S2" t="str">
            <v>Puntos Equipos</v>
          </cell>
          <cell r="T2">
            <v>0</v>
          </cell>
          <cell r="U2">
            <v>0</v>
          </cell>
          <cell r="V2" t="str">
            <v>Puntos Equipos</v>
          </cell>
          <cell r="W2">
            <v>0</v>
          </cell>
          <cell r="X2" t="str">
            <v>Puntos</v>
          </cell>
        </row>
        <row r="3">
          <cell r="B3" t="str">
            <v>No. Sin puntos</v>
          </cell>
          <cell r="C3">
            <v>1</v>
          </cell>
          <cell r="D3">
            <v>0</v>
          </cell>
          <cell r="E3">
            <v>0</v>
          </cell>
          <cell r="F3">
            <v>22</v>
          </cell>
          <cell r="G3">
            <v>0</v>
          </cell>
          <cell r="H3">
            <v>18</v>
          </cell>
          <cell r="I3">
            <v>0</v>
          </cell>
          <cell r="J3">
            <v>9</v>
          </cell>
          <cell r="K3" t="str">
            <v>Total</v>
          </cell>
          <cell r="L3">
            <v>1</v>
          </cell>
          <cell r="M3">
            <v>0</v>
          </cell>
          <cell r="N3">
            <v>44</v>
          </cell>
          <cell r="O3">
            <v>43</v>
          </cell>
          <cell r="P3" t="str">
            <v>Total</v>
          </cell>
          <cell r="Q3">
            <v>17</v>
          </cell>
          <cell r="R3">
            <v>50</v>
          </cell>
          <cell r="S3" t="str">
            <v>Total</v>
          </cell>
          <cell r="T3">
            <v>48</v>
          </cell>
          <cell r="U3">
            <v>46</v>
          </cell>
          <cell r="V3" t="str">
            <v>Total</v>
          </cell>
          <cell r="W3">
            <v>0</v>
          </cell>
          <cell r="X3" t="str">
            <v>Equipos</v>
          </cell>
        </row>
        <row r="4">
          <cell r="A4">
            <v>1</v>
          </cell>
          <cell r="B4" t="str">
            <v>María Eugenia de Lemaitre</v>
          </cell>
          <cell r="C4">
            <v>60</v>
          </cell>
          <cell r="D4">
            <v>30</v>
          </cell>
          <cell r="E4">
            <v>25</v>
          </cell>
          <cell r="F4">
            <v>60</v>
          </cell>
          <cell r="G4">
            <v>60</v>
          </cell>
          <cell r="H4">
            <v>0</v>
          </cell>
          <cell r="I4">
            <v>30</v>
          </cell>
          <cell r="J4">
            <v>25</v>
          </cell>
          <cell r="K4">
            <v>290</v>
          </cell>
          <cell r="L4">
            <v>40</v>
          </cell>
          <cell r="M4">
            <v>80</v>
          </cell>
          <cell r="N4">
            <v>40</v>
          </cell>
          <cell r="O4">
            <v>40</v>
          </cell>
          <cell r="P4">
            <v>200</v>
          </cell>
          <cell r="Q4">
            <v>20</v>
          </cell>
          <cell r="R4">
            <v>0</v>
          </cell>
          <cell r="S4">
            <v>20</v>
          </cell>
          <cell r="T4">
            <v>40</v>
          </cell>
          <cell r="U4">
            <v>0</v>
          </cell>
          <cell r="V4">
            <v>40</v>
          </cell>
          <cell r="W4">
            <v>30</v>
          </cell>
          <cell r="X4">
            <v>580</v>
          </cell>
        </row>
        <row r="5">
          <cell r="A5">
            <v>2</v>
          </cell>
          <cell r="B5" t="str">
            <v>Andres &amp; JuanB Harker</v>
          </cell>
          <cell r="C5">
            <v>25</v>
          </cell>
          <cell r="D5">
            <v>60</v>
          </cell>
          <cell r="E5">
            <v>25</v>
          </cell>
          <cell r="F5">
            <v>30</v>
          </cell>
          <cell r="G5">
            <v>25</v>
          </cell>
          <cell r="H5">
            <v>15</v>
          </cell>
          <cell r="I5">
            <v>60</v>
          </cell>
          <cell r="J5">
            <v>25</v>
          </cell>
          <cell r="K5">
            <v>265</v>
          </cell>
          <cell r="L5">
            <v>80</v>
          </cell>
          <cell r="M5">
            <v>60</v>
          </cell>
          <cell r="N5">
            <v>0</v>
          </cell>
          <cell r="O5">
            <v>0</v>
          </cell>
          <cell r="P5">
            <v>140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405</v>
          </cell>
        </row>
        <row r="6">
          <cell r="A6">
            <v>3</v>
          </cell>
          <cell r="B6" t="str">
            <v>Alexandra &amp; Camilo</v>
          </cell>
          <cell r="C6">
            <v>25</v>
          </cell>
          <cell r="D6">
            <v>60</v>
          </cell>
          <cell r="E6">
            <v>25</v>
          </cell>
          <cell r="F6">
            <v>30</v>
          </cell>
          <cell r="G6">
            <v>25</v>
          </cell>
          <cell r="H6">
            <v>15</v>
          </cell>
          <cell r="I6">
            <v>60</v>
          </cell>
          <cell r="J6">
            <v>0</v>
          </cell>
          <cell r="K6">
            <v>240</v>
          </cell>
          <cell r="L6">
            <v>40</v>
          </cell>
          <cell r="M6">
            <v>40</v>
          </cell>
          <cell r="N6">
            <v>0</v>
          </cell>
          <cell r="O6">
            <v>0</v>
          </cell>
          <cell r="P6">
            <v>80</v>
          </cell>
          <cell r="Q6">
            <v>40</v>
          </cell>
          <cell r="R6">
            <v>0</v>
          </cell>
          <cell r="S6">
            <v>40</v>
          </cell>
          <cell r="T6">
            <v>0</v>
          </cell>
          <cell r="U6">
            <v>0</v>
          </cell>
          <cell r="V6">
            <v>0</v>
          </cell>
          <cell r="W6">
            <v>25</v>
          </cell>
          <cell r="X6">
            <v>385</v>
          </cell>
        </row>
        <row r="7">
          <cell r="A7">
            <v>4</v>
          </cell>
          <cell r="B7" t="str">
            <v>Pierre &amp; Magdalena</v>
          </cell>
          <cell r="C7">
            <v>60</v>
          </cell>
          <cell r="D7">
            <v>60</v>
          </cell>
          <cell r="E7">
            <v>25</v>
          </cell>
          <cell r="F7">
            <v>0</v>
          </cell>
          <cell r="G7">
            <v>25</v>
          </cell>
          <cell r="H7">
            <v>15</v>
          </cell>
          <cell r="I7">
            <v>60</v>
          </cell>
          <cell r="J7">
            <v>25</v>
          </cell>
          <cell r="K7">
            <v>270</v>
          </cell>
          <cell r="L7">
            <v>40</v>
          </cell>
          <cell r="M7">
            <v>60</v>
          </cell>
          <cell r="N7">
            <v>0</v>
          </cell>
          <cell r="O7">
            <v>0</v>
          </cell>
          <cell r="P7">
            <v>100</v>
          </cell>
          <cell r="Q7">
            <v>40</v>
          </cell>
          <cell r="R7">
            <v>0</v>
          </cell>
          <cell r="S7">
            <v>40</v>
          </cell>
          <cell r="T7">
            <v>0</v>
          </cell>
          <cell r="U7">
            <v>0</v>
          </cell>
          <cell r="V7">
            <v>0</v>
          </cell>
          <cell r="W7">
            <v>25</v>
          </cell>
          <cell r="X7">
            <v>435</v>
          </cell>
        </row>
        <row r="8">
          <cell r="A8">
            <v>5</v>
          </cell>
          <cell r="B8" t="str">
            <v>Fernando Yañez</v>
          </cell>
          <cell r="C8">
            <v>60</v>
          </cell>
          <cell r="D8">
            <v>30</v>
          </cell>
          <cell r="E8">
            <v>25</v>
          </cell>
          <cell r="F8">
            <v>60</v>
          </cell>
          <cell r="G8">
            <v>60</v>
          </cell>
          <cell r="H8">
            <v>0</v>
          </cell>
          <cell r="I8">
            <v>30</v>
          </cell>
          <cell r="J8">
            <v>25</v>
          </cell>
          <cell r="K8">
            <v>290</v>
          </cell>
          <cell r="L8">
            <v>20</v>
          </cell>
          <cell r="M8">
            <v>80</v>
          </cell>
          <cell r="N8">
            <v>0</v>
          </cell>
          <cell r="O8">
            <v>40</v>
          </cell>
          <cell r="P8">
            <v>140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430</v>
          </cell>
        </row>
        <row r="9">
          <cell r="A9">
            <v>6</v>
          </cell>
          <cell r="B9" t="str">
            <v>Gonzalo Fonseca</v>
          </cell>
          <cell r="C9">
            <v>60</v>
          </cell>
          <cell r="D9">
            <v>60</v>
          </cell>
          <cell r="E9">
            <v>60</v>
          </cell>
          <cell r="F9">
            <v>0</v>
          </cell>
          <cell r="G9">
            <v>60</v>
          </cell>
          <cell r="H9">
            <v>0</v>
          </cell>
          <cell r="I9">
            <v>30</v>
          </cell>
          <cell r="J9">
            <v>25</v>
          </cell>
          <cell r="K9">
            <v>295</v>
          </cell>
          <cell r="L9">
            <v>80</v>
          </cell>
          <cell r="M9">
            <v>80</v>
          </cell>
          <cell r="N9">
            <v>0</v>
          </cell>
          <cell r="O9">
            <v>0</v>
          </cell>
          <cell r="P9">
            <v>160</v>
          </cell>
          <cell r="Q9">
            <v>40</v>
          </cell>
          <cell r="R9">
            <v>0</v>
          </cell>
          <cell r="S9">
            <v>40</v>
          </cell>
          <cell r="T9">
            <v>0</v>
          </cell>
          <cell r="U9">
            <v>0</v>
          </cell>
          <cell r="V9">
            <v>0</v>
          </cell>
          <cell r="W9">
            <v>25</v>
          </cell>
          <cell r="X9">
            <v>520</v>
          </cell>
        </row>
        <row r="10">
          <cell r="A10">
            <v>7</v>
          </cell>
          <cell r="B10" t="str">
            <v>Juan Kiko Harker</v>
          </cell>
          <cell r="C10">
            <v>60</v>
          </cell>
          <cell r="D10">
            <v>60</v>
          </cell>
          <cell r="E10">
            <v>60</v>
          </cell>
          <cell r="F10">
            <v>30</v>
          </cell>
          <cell r="G10">
            <v>25</v>
          </cell>
          <cell r="H10">
            <v>0</v>
          </cell>
          <cell r="I10">
            <v>30</v>
          </cell>
          <cell r="J10">
            <v>0</v>
          </cell>
          <cell r="K10">
            <v>265</v>
          </cell>
          <cell r="L10">
            <v>80</v>
          </cell>
          <cell r="M10">
            <v>80</v>
          </cell>
          <cell r="N10">
            <v>0</v>
          </cell>
          <cell r="O10">
            <v>20</v>
          </cell>
          <cell r="P10">
            <v>180</v>
          </cell>
          <cell r="Q10">
            <v>40</v>
          </cell>
          <cell r="R10">
            <v>0</v>
          </cell>
          <cell r="S10">
            <v>40</v>
          </cell>
          <cell r="T10">
            <v>0</v>
          </cell>
          <cell r="U10">
            <v>0</v>
          </cell>
          <cell r="V10">
            <v>0</v>
          </cell>
          <cell r="W10">
            <v>25</v>
          </cell>
          <cell r="X10">
            <v>510</v>
          </cell>
        </row>
        <row r="11">
          <cell r="A11">
            <v>8</v>
          </cell>
          <cell r="B11" t="str">
            <v>Dionisio Araujo V</v>
          </cell>
          <cell r="C11">
            <v>60</v>
          </cell>
          <cell r="D11">
            <v>60</v>
          </cell>
          <cell r="E11">
            <v>60</v>
          </cell>
          <cell r="F11">
            <v>30</v>
          </cell>
          <cell r="G11">
            <v>25</v>
          </cell>
          <cell r="H11">
            <v>15</v>
          </cell>
          <cell r="I11">
            <v>30</v>
          </cell>
          <cell r="J11">
            <v>25</v>
          </cell>
          <cell r="K11">
            <v>305</v>
          </cell>
          <cell r="L11">
            <v>40</v>
          </cell>
          <cell r="M11">
            <v>80</v>
          </cell>
          <cell r="N11">
            <v>0</v>
          </cell>
          <cell r="O11">
            <v>0</v>
          </cell>
          <cell r="P11">
            <v>120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425</v>
          </cell>
        </row>
        <row r="12">
          <cell r="A12">
            <v>9</v>
          </cell>
          <cell r="B12" t="str">
            <v>Felipe Araujo A</v>
          </cell>
          <cell r="C12">
            <v>30</v>
          </cell>
          <cell r="D12">
            <v>30</v>
          </cell>
          <cell r="E12">
            <v>25</v>
          </cell>
          <cell r="F12">
            <v>30</v>
          </cell>
          <cell r="G12">
            <v>60</v>
          </cell>
          <cell r="H12">
            <v>15</v>
          </cell>
          <cell r="I12">
            <v>30</v>
          </cell>
          <cell r="J12">
            <v>25</v>
          </cell>
          <cell r="K12">
            <v>245</v>
          </cell>
          <cell r="L12">
            <v>20</v>
          </cell>
          <cell r="M12">
            <v>80</v>
          </cell>
          <cell r="N12">
            <v>0</v>
          </cell>
          <cell r="O12">
            <v>0</v>
          </cell>
          <cell r="P12">
            <v>100</v>
          </cell>
          <cell r="Q12">
            <v>60</v>
          </cell>
          <cell r="R12">
            <v>0</v>
          </cell>
          <cell r="S12">
            <v>60</v>
          </cell>
          <cell r="T12">
            <v>0</v>
          </cell>
          <cell r="U12">
            <v>0</v>
          </cell>
          <cell r="V12">
            <v>0</v>
          </cell>
          <cell r="W12">
            <v>50</v>
          </cell>
          <cell r="X12">
            <v>455</v>
          </cell>
        </row>
        <row r="13">
          <cell r="A13">
            <v>10</v>
          </cell>
          <cell r="B13" t="str">
            <v>Andres Borrero</v>
          </cell>
          <cell r="C13">
            <v>60</v>
          </cell>
          <cell r="D13">
            <v>60</v>
          </cell>
          <cell r="E13">
            <v>60</v>
          </cell>
          <cell r="F13">
            <v>0</v>
          </cell>
          <cell r="G13">
            <v>60</v>
          </cell>
          <cell r="H13">
            <v>15</v>
          </cell>
          <cell r="I13">
            <v>30</v>
          </cell>
          <cell r="J13">
            <v>25</v>
          </cell>
          <cell r="K13">
            <v>310</v>
          </cell>
          <cell r="L13">
            <v>80</v>
          </cell>
          <cell r="M13">
            <v>80</v>
          </cell>
          <cell r="N13">
            <v>0</v>
          </cell>
          <cell r="O13">
            <v>0</v>
          </cell>
          <cell r="P13">
            <v>160</v>
          </cell>
          <cell r="Q13">
            <v>40</v>
          </cell>
          <cell r="R13">
            <v>0</v>
          </cell>
          <cell r="S13">
            <v>40</v>
          </cell>
          <cell r="T13">
            <v>0</v>
          </cell>
          <cell r="U13">
            <v>0</v>
          </cell>
          <cell r="V13">
            <v>0</v>
          </cell>
          <cell r="W13">
            <v>25</v>
          </cell>
          <cell r="X13">
            <v>535</v>
          </cell>
        </row>
        <row r="14">
          <cell r="A14">
            <v>11</v>
          </cell>
          <cell r="B14" t="str">
            <v>Andres Lemaitre</v>
          </cell>
          <cell r="C14">
            <v>25</v>
          </cell>
          <cell r="D14">
            <v>60</v>
          </cell>
          <cell r="E14">
            <v>60</v>
          </cell>
          <cell r="F14">
            <v>30</v>
          </cell>
          <cell r="G14">
            <v>60</v>
          </cell>
          <cell r="H14">
            <v>0</v>
          </cell>
          <cell r="I14">
            <v>30</v>
          </cell>
          <cell r="J14">
            <v>0</v>
          </cell>
          <cell r="K14">
            <v>265</v>
          </cell>
          <cell r="L14">
            <v>40</v>
          </cell>
          <cell r="M14">
            <v>40</v>
          </cell>
          <cell r="N14">
            <v>40</v>
          </cell>
          <cell r="O14">
            <v>0</v>
          </cell>
          <cell r="P14">
            <v>120</v>
          </cell>
          <cell r="Q14">
            <v>40</v>
          </cell>
          <cell r="R14">
            <v>20</v>
          </cell>
          <cell r="S14">
            <v>60</v>
          </cell>
          <cell r="T14">
            <v>40</v>
          </cell>
          <cell r="U14">
            <v>0</v>
          </cell>
          <cell r="V14">
            <v>40</v>
          </cell>
          <cell r="W14">
            <v>40</v>
          </cell>
          <cell r="X14">
            <v>525</v>
          </cell>
        </row>
        <row r="15">
          <cell r="A15">
            <v>12</v>
          </cell>
          <cell r="B15" t="str">
            <v>Felipe Bonilla</v>
          </cell>
          <cell r="C15">
            <v>60</v>
          </cell>
          <cell r="D15">
            <v>60</v>
          </cell>
          <cell r="E15">
            <v>25</v>
          </cell>
          <cell r="F15">
            <v>0</v>
          </cell>
          <cell r="G15">
            <v>25</v>
          </cell>
          <cell r="H15">
            <v>0</v>
          </cell>
          <cell r="I15">
            <v>60</v>
          </cell>
          <cell r="J15">
            <v>25</v>
          </cell>
          <cell r="K15">
            <v>255</v>
          </cell>
          <cell r="L15">
            <v>40</v>
          </cell>
          <cell r="M15">
            <v>80</v>
          </cell>
          <cell r="N15">
            <v>0</v>
          </cell>
          <cell r="O15">
            <v>0</v>
          </cell>
          <cell r="P15">
            <v>120</v>
          </cell>
          <cell r="Q15">
            <v>60</v>
          </cell>
          <cell r="R15">
            <v>0</v>
          </cell>
          <cell r="S15">
            <v>60</v>
          </cell>
          <cell r="T15">
            <v>0</v>
          </cell>
          <cell r="U15">
            <v>0</v>
          </cell>
          <cell r="V15">
            <v>0</v>
          </cell>
          <cell r="W15">
            <v>50</v>
          </cell>
          <cell r="X15">
            <v>485</v>
          </cell>
        </row>
        <row r="16">
          <cell r="A16">
            <v>13</v>
          </cell>
          <cell r="B16" t="str">
            <v>Carlos A Pareja</v>
          </cell>
          <cell r="C16">
            <v>30</v>
          </cell>
          <cell r="D16">
            <v>60</v>
          </cell>
          <cell r="E16">
            <v>25</v>
          </cell>
          <cell r="F16">
            <v>30</v>
          </cell>
          <cell r="G16">
            <v>25</v>
          </cell>
          <cell r="H16">
            <v>15</v>
          </cell>
          <cell r="I16">
            <v>30</v>
          </cell>
          <cell r="J16">
            <v>25</v>
          </cell>
          <cell r="K16">
            <v>240</v>
          </cell>
          <cell r="L16">
            <v>20</v>
          </cell>
          <cell r="M16">
            <v>80</v>
          </cell>
          <cell r="N16">
            <v>0</v>
          </cell>
          <cell r="O16">
            <v>0</v>
          </cell>
          <cell r="P16">
            <v>100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340</v>
          </cell>
        </row>
        <row r="17">
          <cell r="A17">
            <v>14</v>
          </cell>
          <cell r="B17" t="str">
            <v>Nicolas Mujica R</v>
          </cell>
          <cell r="C17">
            <v>60</v>
          </cell>
          <cell r="D17">
            <v>60</v>
          </cell>
          <cell r="E17">
            <v>25</v>
          </cell>
          <cell r="F17">
            <v>30</v>
          </cell>
          <cell r="G17">
            <v>25</v>
          </cell>
          <cell r="H17">
            <v>0</v>
          </cell>
          <cell r="I17">
            <v>60</v>
          </cell>
          <cell r="J17">
            <v>25</v>
          </cell>
          <cell r="K17">
            <v>285</v>
          </cell>
          <cell r="L17">
            <v>80</v>
          </cell>
          <cell r="M17">
            <v>60</v>
          </cell>
          <cell r="N17">
            <v>0</v>
          </cell>
          <cell r="O17">
            <v>0</v>
          </cell>
          <cell r="P17">
            <v>140</v>
          </cell>
          <cell r="Q17">
            <v>40</v>
          </cell>
          <cell r="R17">
            <v>0</v>
          </cell>
          <cell r="S17">
            <v>40</v>
          </cell>
          <cell r="T17">
            <v>0</v>
          </cell>
          <cell r="U17">
            <v>0</v>
          </cell>
          <cell r="V17">
            <v>0</v>
          </cell>
          <cell r="W17">
            <v>25</v>
          </cell>
          <cell r="X17">
            <v>490</v>
          </cell>
        </row>
        <row r="18">
          <cell r="A18">
            <v>15</v>
          </cell>
          <cell r="B18" t="str">
            <v>Felipe Fonseca</v>
          </cell>
          <cell r="C18">
            <v>60</v>
          </cell>
          <cell r="D18">
            <v>60</v>
          </cell>
          <cell r="E18">
            <v>60</v>
          </cell>
          <cell r="F18">
            <v>0</v>
          </cell>
          <cell r="G18">
            <v>25</v>
          </cell>
          <cell r="H18">
            <v>15</v>
          </cell>
          <cell r="I18">
            <v>60</v>
          </cell>
          <cell r="J18">
            <v>0</v>
          </cell>
          <cell r="K18">
            <v>280</v>
          </cell>
          <cell r="L18">
            <v>80</v>
          </cell>
          <cell r="M18">
            <v>40</v>
          </cell>
          <cell r="N18">
            <v>0</v>
          </cell>
          <cell r="O18">
            <v>0</v>
          </cell>
          <cell r="P18">
            <v>120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400</v>
          </cell>
        </row>
        <row r="19">
          <cell r="A19">
            <v>16</v>
          </cell>
          <cell r="B19" t="str">
            <v>Miguel A Ospina</v>
          </cell>
          <cell r="C19">
            <v>30</v>
          </cell>
          <cell r="D19">
            <v>60</v>
          </cell>
          <cell r="E19">
            <v>60</v>
          </cell>
          <cell r="F19">
            <v>0</v>
          </cell>
          <cell r="G19">
            <v>60</v>
          </cell>
          <cell r="H19">
            <v>15</v>
          </cell>
          <cell r="I19">
            <v>25</v>
          </cell>
          <cell r="J19">
            <v>25</v>
          </cell>
          <cell r="K19">
            <v>275</v>
          </cell>
          <cell r="L19">
            <v>20</v>
          </cell>
          <cell r="M19">
            <v>40</v>
          </cell>
          <cell r="N19">
            <v>0</v>
          </cell>
          <cell r="O19">
            <v>0</v>
          </cell>
          <cell r="P19">
            <v>60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335</v>
          </cell>
        </row>
        <row r="20">
          <cell r="A20">
            <v>17</v>
          </cell>
          <cell r="B20" t="str">
            <v>Christian Benitez</v>
          </cell>
          <cell r="C20">
            <v>60</v>
          </cell>
          <cell r="D20">
            <v>60</v>
          </cell>
          <cell r="E20">
            <v>25</v>
          </cell>
          <cell r="F20">
            <v>0</v>
          </cell>
          <cell r="G20">
            <v>60</v>
          </cell>
          <cell r="H20">
            <v>15</v>
          </cell>
          <cell r="I20">
            <v>30</v>
          </cell>
          <cell r="J20">
            <v>25</v>
          </cell>
          <cell r="K20">
            <v>275</v>
          </cell>
          <cell r="L20">
            <v>80</v>
          </cell>
          <cell r="M20">
            <v>80</v>
          </cell>
          <cell r="N20">
            <v>0</v>
          </cell>
          <cell r="O20">
            <v>0</v>
          </cell>
          <cell r="P20">
            <v>160</v>
          </cell>
          <cell r="Q20">
            <v>40</v>
          </cell>
          <cell r="R20">
            <v>0</v>
          </cell>
          <cell r="S20">
            <v>40</v>
          </cell>
          <cell r="T20">
            <v>0</v>
          </cell>
          <cell r="U20">
            <v>0</v>
          </cell>
          <cell r="V20">
            <v>0</v>
          </cell>
          <cell r="W20">
            <v>25</v>
          </cell>
          <cell r="X20">
            <v>500</v>
          </cell>
        </row>
        <row r="21">
          <cell r="A21">
            <v>18</v>
          </cell>
          <cell r="B21" t="str">
            <v>Andres Harker</v>
          </cell>
          <cell r="C21">
            <v>60</v>
          </cell>
          <cell r="D21">
            <v>60</v>
          </cell>
          <cell r="E21">
            <v>25</v>
          </cell>
          <cell r="F21">
            <v>60</v>
          </cell>
          <cell r="G21">
            <v>25</v>
          </cell>
          <cell r="H21">
            <v>15</v>
          </cell>
          <cell r="I21">
            <v>60</v>
          </cell>
          <cell r="J21">
            <v>0</v>
          </cell>
          <cell r="K21">
            <v>305</v>
          </cell>
          <cell r="L21">
            <v>40</v>
          </cell>
          <cell r="M21">
            <v>40</v>
          </cell>
          <cell r="N21">
            <v>20</v>
          </cell>
          <cell r="O21">
            <v>40</v>
          </cell>
          <cell r="P21">
            <v>140</v>
          </cell>
          <cell r="Q21">
            <v>40</v>
          </cell>
          <cell r="R21">
            <v>0</v>
          </cell>
          <cell r="S21">
            <v>40</v>
          </cell>
          <cell r="T21">
            <v>0</v>
          </cell>
          <cell r="U21">
            <v>0</v>
          </cell>
          <cell r="V21">
            <v>0</v>
          </cell>
          <cell r="W21">
            <v>25</v>
          </cell>
          <cell r="X21">
            <v>510</v>
          </cell>
        </row>
        <row r="22">
          <cell r="A22">
            <v>19</v>
          </cell>
          <cell r="B22" t="str">
            <v>John Rojas</v>
          </cell>
          <cell r="C22">
            <v>60</v>
          </cell>
          <cell r="D22">
            <v>60</v>
          </cell>
          <cell r="E22">
            <v>25</v>
          </cell>
          <cell r="F22">
            <v>30</v>
          </cell>
          <cell r="G22">
            <v>60</v>
          </cell>
          <cell r="H22">
            <v>15</v>
          </cell>
          <cell r="I22">
            <v>30</v>
          </cell>
          <cell r="J22">
            <v>25</v>
          </cell>
          <cell r="K22">
            <v>305</v>
          </cell>
          <cell r="L22">
            <v>80</v>
          </cell>
          <cell r="M22">
            <v>80</v>
          </cell>
          <cell r="N22">
            <v>0</v>
          </cell>
          <cell r="O22">
            <v>0</v>
          </cell>
          <cell r="P22">
            <v>160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465</v>
          </cell>
        </row>
        <row r="23">
          <cell r="A23">
            <v>20</v>
          </cell>
          <cell r="B23" t="str">
            <v>Alfredo Gómez</v>
          </cell>
          <cell r="C23">
            <v>60</v>
          </cell>
          <cell r="D23">
            <v>30</v>
          </cell>
          <cell r="E23">
            <v>60</v>
          </cell>
          <cell r="F23">
            <v>0</v>
          </cell>
          <cell r="G23">
            <v>25</v>
          </cell>
          <cell r="H23">
            <v>0</v>
          </cell>
          <cell r="I23">
            <v>30</v>
          </cell>
          <cell r="J23">
            <v>25</v>
          </cell>
          <cell r="K23">
            <v>230</v>
          </cell>
          <cell r="L23">
            <v>40</v>
          </cell>
          <cell r="M23">
            <v>40</v>
          </cell>
          <cell r="N23">
            <v>0</v>
          </cell>
          <cell r="O23">
            <v>0</v>
          </cell>
          <cell r="P23">
            <v>80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310</v>
          </cell>
        </row>
        <row r="24">
          <cell r="A24">
            <v>21</v>
          </cell>
          <cell r="B24" t="str">
            <v>Daniel Escobar</v>
          </cell>
          <cell r="C24">
            <v>25</v>
          </cell>
          <cell r="D24">
            <v>30</v>
          </cell>
          <cell r="E24">
            <v>60</v>
          </cell>
          <cell r="F24">
            <v>0</v>
          </cell>
          <cell r="G24">
            <v>60</v>
          </cell>
          <cell r="H24">
            <v>15</v>
          </cell>
          <cell r="I24">
            <v>60</v>
          </cell>
          <cell r="J24">
            <v>25</v>
          </cell>
          <cell r="K24">
            <v>275</v>
          </cell>
          <cell r="L24">
            <v>40</v>
          </cell>
          <cell r="M24">
            <v>60</v>
          </cell>
          <cell r="N24">
            <v>0</v>
          </cell>
          <cell r="O24">
            <v>0</v>
          </cell>
          <cell r="P24">
            <v>100</v>
          </cell>
          <cell r="Q24">
            <v>40</v>
          </cell>
          <cell r="R24">
            <v>0</v>
          </cell>
          <cell r="S24">
            <v>40</v>
          </cell>
          <cell r="T24">
            <v>0</v>
          </cell>
          <cell r="U24">
            <v>0</v>
          </cell>
          <cell r="V24">
            <v>0</v>
          </cell>
          <cell r="W24">
            <v>25</v>
          </cell>
          <cell r="X24">
            <v>440</v>
          </cell>
        </row>
        <row r="25">
          <cell r="A25">
            <v>22</v>
          </cell>
          <cell r="B25" t="str">
            <v>Juan S Araújo</v>
          </cell>
          <cell r="C25">
            <v>60</v>
          </cell>
          <cell r="D25">
            <v>60</v>
          </cell>
          <cell r="E25">
            <v>25</v>
          </cell>
          <cell r="F25">
            <v>30</v>
          </cell>
          <cell r="G25">
            <v>25</v>
          </cell>
          <cell r="H25">
            <v>15</v>
          </cell>
          <cell r="I25">
            <v>60</v>
          </cell>
          <cell r="J25">
            <v>25</v>
          </cell>
          <cell r="K25">
            <v>300</v>
          </cell>
          <cell r="L25">
            <v>40</v>
          </cell>
          <cell r="M25">
            <v>60</v>
          </cell>
          <cell r="N25">
            <v>20</v>
          </cell>
          <cell r="O25">
            <v>0</v>
          </cell>
          <cell r="P25">
            <v>120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420</v>
          </cell>
        </row>
        <row r="26">
          <cell r="A26">
            <v>23</v>
          </cell>
          <cell r="B26" t="str">
            <v>Natalia Uribe</v>
          </cell>
          <cell r="C26">
            <v>30</v>
          </cell>
          <cell r="D26">
            <v>60</v>
          </cell>
          <cell r="E26">
            <v>25</v>
          </cell>
          <cell r="F26">
            <v>0</v>
          </cell>
          <cell r="G26">
            <v>25</v>
          </cell>
          <cell r="H26">
            <v>15</v>
          </cell>
          <cell r="I26">
            <v>30</v>
          </cell>
          <cell r="J26">
            <v>0</v>
          </cell>
          <cell r="K26">
            <v>185</v>
          </cell>
          <cell r="L26">
            <v>40</v>
          </cell>
          <cell r="M26">
            <v>80</v>
          </cell>
          <cell r="N26">
            <v>0</v>
          </cell>
          <cell r="O26">
            <v>0</v>
          </cell>
          <cell r="P26">
            <v>120</v>
          </cell>
          <cell r="Q26">
            <v>20</v>
          </cell>
          <cell r="R26">
            <v>0</v>
          </cell>
          <cell r="S26">
            <v>20</v>
          </cell>
          <cell r="T26">
            <v>40</v>
          </cell>
          <cell r="U26">
            <v>0</v>
          </cell>
          <cell r="V26">
            <v>40</v>
          </cell>
          <cell r="W26">
            <v>30</v>
          </cell>
          <cell r="X26">
            <v>395</v>
          </cell>
        </row>
        <row r="27">
          <cell r="A27">
            <v>24</v>
          </cell>
          <cell r="B27" t="str">
            <v>Camilo Russi</v>
          </cell>
          <cell r="C27">
            <v>60</v>
          </cell>
          <cell r="D27">
            <v>60</v>
          </cell>
          <cell r="E27">
            <v>25</v>
          </cell>
          <cell r="F27">
            <v>0</v>
          </cell>
          <cell r="G27">
            <v>60</v>
          </cell>
          <cell r="H27">
            <v>15</v>
          </cell>
          <cell r="I27">
            <v>60</v>
          </cell>
          <cell r="J27">
            <v>25</v>
          </cell>
          <cell r="K27">
            <v>305</v>
          </cell>
          <cell r="L27">
            <v>80</v>
          </cell>
          <cell r="M27">
            <v>60</v>
          </cell>
          <cell r="N27">
            <v>0</v>
          </cell>
          <cell r="O27">
            <v>0</v>
          </cell>
          <cell r="P27">
            <v>140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445</v>
          </cell>
        </row>
        <row r="28">
          <cell r="A28">
            <v>25</v>
          </cell>
          <cell r="B28" t="str">
            <v>Enrique Uribe</v>
          </cell>
          <cell r="C28">
            <v>0</v>
          </cell>
          <cell r="D28">
            <v>60</v>
          </cell>
          <cell r="E28">
            <v>25</v>
          </cell>
          <cell r="F28">
            <v>0</v>
          </cell>
          <cell r="G28">
            <v>25</v>
          </cell>
          <cell r="H28">
            <v>15</v>
          </cell>
          <cell r="I28">
            <v>30</v>
          </cell>
          <cell r="J28">
            <v>0</v>
          </cell>
          <cell r="K28">
            <v>155</v>
          </cell>
          <cell r="L28">
            <v>60</v>
          </cell>
          <cell r="M28">
            <v>80</v>
          </cell>
          <cell r="N28">
            <v>0</v>
          </cell>
          <cell r="O28">
            <v>0</v>
          </cell>
          <cell r="P28">
            <v>140</v>
          </cell>
          <cell r="Q28">
            <v>40</v>
          </cell>
          <cell r="R28">
            <v>0</v>
          </cell>
          <cell r="S28">
            <v>40</v>
          </cell>
          <cell r="T28">
            <v>0</v>
          </cell>
          <cell r="U28">
            <v>0</v>
          </cell>
          <cell r="V28">
            <v>0</v>
          </cell>
          <cell r="W28">
            <v>25</v>
          </cell>
          <cell r="X28">
            <v>360</v>
          </cell>
        </row>
        <row r="29">
          <cell r="A29">
            <v>26</v>
          </cell>
          <cell r="B29" t="str">
            <v>Andres Aguirre</v>
          </cell>
          <cell r="C29">
            <v>60</v>
          </cell>
          <cell r="D29">
            <v>60</v>
          </cell>
          <cell r="E29">
            <v>25</v>
          </cell>
          <cell r="F29">
            <v>30</v>
          </cell>
          <cell r="G29">
            <v>25</v>
          </cell>
          <cell r="H29">
            <v>15</v>
          </cell>
          <cell r="I29">
            <v>30</v>
          </cell>
          <cell r="J29">
            <v>25</v>
          </cell>
          <cell r="K29">
            <v>270</v>
          </cell>
          <cell r="L29">
            <v>80</v>
          </cell>
          <cell r="M29">
            <v>80</v>
          </cell>
          <cell r="N29">
            <v>0</v>
          </cell>
          <cell r="O29">
            <v>0</v>
          </cell>
          <cell r="P29">
            <v>160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430</v>
          </cell>
        </row>
        <row r="30">
          <cell r="A30">
            <v>27</v>
          </cell>
          <cell r="B30" t="str">
            <v>Juan C Lemaitre</v>
          </cell>
          <cell r="C30">
            <v>60</v>
          </cell>
          <cell r="D30">
            <v>30</v>
          </cell>
          <cell r="E30">
            <v>60</v>
          </cell>
          <cell r="F30">
            <v>0</v>
          </cell>
          <cell r="G30">
            <v>25</v>
          </cell>
          <cell r="H30">
            <v>0</v>
          </cell>
          <cell r="I30">
            <v>30</v>
          </cell>
          <cell r="J30">
            <v>25</v>
          </cell>
          <cell r="K30">
            <v>230</v>
          </cell>
          <cell r="L30">
            <v>40</v>
          </cell>
          <cell r="M30">
            <v>80</v>
          </cell>
          <cell r="N30">
            <v>40</v>
          </cell>
          <cell r="O30">
            <v>0</v>
          </cell>
          <cell r="P30">
            <v>160</v>
          </cell>
          <cell r="Q30">
            <v>40</v>
          </cell>
          <cell r="R30">
            <v>0</v>
          </cell>
          <cell r="S30">
            <v>40</v>
          </cell>
          <cell r="T30">
            <v>0</v>
          </cell>
          <cell r="U30">
            <v>0</v>
          </cell>
          <cell r="V30">
            <v>0</v>
          </cell>
          <cell r="W30">
            <v>25</v>
          </cell>
          <cell r="X30">
            <v>455</v>
          </cell>
        </row>
        <row r="31">
          <cell r="A31">
            <v>28</v>
          </cell>
          <cell r="B31" t="str">
            <v>Fernando Fonseca</v>
          </cell>
          <cell r="C31">
            <v>60</v>
          </cell>
          <cell r="D31">
            <v>60</v>
          </cell>
          <cell r="E31">
            <v>25</v>
          </cell>
          <cell r="F31">
            <v>0</v>
          </cell>
          <cell r="G31">
            <v>25</v>
          </cell>
          <cell r="H31">
            <v>0</v>
          </cell>
          <cell r="I31">
            <v>60</v>
          </cell>
          <cell r="J31">
            <v>25</v>
          </cell>
          <cell r="K31">
            <v>255</v>
          </cell>
          <cell r="L31">
            <v>80</v>
          </cell>
          <cell r="M31">
            <v>60</v>
          </cell>
          <cell r="N31">
            <v>0</v>
          </cell>
          <cell r="O31">
            <v>0</v>
          </cell>
          <cell r="P31">
            <v>140</v>
          </cell>
          <cell r="Q31">
            <v>40</v>
          </cell>
          <cell r="R31">
            <v>0</v>
          </cell>
          <cell r="S31">
            <v>40</v>
          </cell>
          <cell r="T31">
            <v>0</v>
          </cell>
          <cell r="U31">
            <v>0</v>
          </cell>
          <cell r="V31">
            <v>0</v>
          </cell>
          <cell r="W31">
            <v>25</v>
          </cell>
          <cell r="X31">
            <v>460</v>
          </cell>
        </row>
        <row r="32">
          <cell r="A32">
            <v>29</v>
          </cell>
          <cell r="B32" t="str">
            <v>Rodofo Rojas</v>
          </cell>
          <cell r="C32">
            <v>60</v>
          </cell>
          <cell r="D32">
            <v>60</v>
          </cell>
          <cell r="E32">
            <v>60</v>
          </cell>
          <cell r="F32">
            <v>0</v>
          </cell>
          <cell r="G32">
            <v>60</v>
          </cell>
          <cell r="H32">
            <v>15</v>
          </cell>
          <cell r="I32">
            <v>60</v>
          </cell>
          <cell r="J32">
            <v>25</v>
          </cell>
          <cell r="K32">
            <v>340</v>
          </cell>
          <cell r="L32">
            <v>80</v>
          </cell>
          <cell r="M32">
            <v>60</v>
          </cell>
          <cell r="N32">
            <v>0</v>
          </cell>
          <cell r="O32">
            <v>0</v>
          </cell>
          <cell r="P32">
            <v>140</v>
          </cell>
          <cell r="Q32">
            <v>40</v>
          </cell>
          <cell r="R32">
            <v>0</v>
          </cell>
          <cell r="S32">
            <v>40</v>
          </cell>
          <cell r="T32">
            <v>0</v>
          </cell>
          <cell r="U32">
            <v>0</v>
          </cell>
          <cell r="V32">
            <v>0</v>
          </cell>
          <cell r="W32">
            <v>25</v>
          </cell>
          <cell r="X32">
            <v>545</v>
          </cell>
        </row>
        <row r="33">
          <cell r="A33">
            <v>30</v>
          </cell>
          <cell r="B33" t="str">
            <v>Cesar A Gómez</v>
          </cell>
          <cell r="C33">
            <v>60</v>
          </cell>
          <cell r="D33">
            <v>30</v>
          </cell>
          <cell r="E33">
            <v>25</v>
          </cell>
          <cell r="F33">
            <v>30</v>
          </cell>
          <cell r="G33">
            <v>25</v>
          </cell>
          <cell r="H33">
            <v>15</v>
          </cell>
          <cell r="I33">
            <v>30</v>
          </cell>
          <cell r="J33">
            <v>25</v>
          </cell>
          <cell r="K33">
            <v>240</v>
          </cell>
          <cell r="L33">
            <v>40</v>
          </cell>
          <cell r="M33">
            <v>80</v>
          </cell>
          <cell r="N33">
            <v>0</v>
          </cell>
          <cell r="O33">
            <v>40</v>
          </cell>
          <cell r="P33">
            <v>160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400</v>
          </cell>
        </row>
        <row r="34">
          <cell r="A34">
            <v>31</v>
          </cell>
          <cell r="B34" t="str">
            <v>Paula - Gonzalo</v>
          </cell>
          <cell r="C34">
            <v>25</v>
          </cell>
          <cell r="D34">
            <v>60</v>
          </cell>
          <cell r="E34">
            <v>25</v>
          </cell>
          <cell r="F34">
            <v>60</v>
          </cell>
          <cell r="G34">
            <v>60</v>
          </cell>
          <cell r="H34">
            <v>15</v>
          </cell>
          <cell r="I34">
            <v>60</v>
          </cell>
          <cell r="J34">
            <v>25</v>
          </cell>
          <cell r="K34">
            <v>330</v>
          </cell>
          <cell r="L34">
            <v>80</v>
          </cell>
          <cell r="M34">
            <v>60</v>
          </cell>
          <cell r="N34">
            <v>0</v>
          </cell>
          <cell r="O34">
            <v>40</v>
          </cell>
          <cell r="P34">
            <v>180</v>
          </cell>
          <cell r="Q34">
            <v>40</v>
          </cell>
          <cell r="R34">
            <v>0</v>
          </cell>
          <cell r="S34">
            <v>40</v>
          </cell>
          <cell r="T34">
            <v>0</v>
          </cell>
          <cell r="U34">
            <v>0</v>
          </cell>
          <cell r="V34">
            <v>0</v>
          </cell>
          <cell r="W34">
            <v>25</v>
          </cell>
          <cell r="X34">
            <v>575</v>
          </cell>
        </row>
        <row r="35">
          <cell r="A35">
            <v>32</v>
          </cell>
          <cell r="B35" t="str">
            <v xml:space="preserve">Roberto Fonnegra </v>
          </cell>
          <cell r="C35">
            <v>25</v>
          </cell>
          <cell r="D35">
            <v>60</v>
          </cell>
          <cell r="E35">
            <v>25</v>
          </cell>
          <cell r="F35">
            <v>30</v>
          </cell>
          <cell r="G35">
            <v>25</v>
          </cell>
          <cell r="H35">
            <v>0</v>
          </cell>
          <cell r="I35">
            <v>60</v>
          </cell>
          <cell r="J35">
            <v>25</v>
          </cell>
          <cell r="K35">
            <v>250</v>
          </cell>
          <cell r="L35">
            <v>80</v>
          </cell>
          <cell r="M35">
            <v>60</v>
          </cell>
          <cell r="N35">
            <v>0</v>
          </cell>
          <cell r="O35">
            <v>0</v>
          </cell>
          <cell r="P35">
            <v>140</v>
          </cell>
          <cell r="Q35">
            <v>40</v>
          </cell>
          <cell r="R35">
            <v>0</v>
          </cell>
          <cell r="S35">
            <v>40</v>
          </cell>
          <cell r="T35">
            <v>0</v>
          </cell>
          <cell r="U35">
            <v>0</v>
          </cell>
          <cell r="V35">
            <v>0</v>
          </cell>
          <cell r="W35">
            <v>25</v>
          </cell>
          <cell r="X35">
            <v>455</v>
          </cell>
        </row>
        <row r="36">
          <cell r="A36">
            <v>33</v>
          </cell>
          <cell r="B36" t="str">
            <v>Santiago Arbouin</v>
          </cell>
          <cell r="C36">
            <v>25</v>
          </cell>
          <cell r="D36">
            <v>60</v>
          </cell>
          <cell r="E36">
            <v>25</v>
          </cell>
          <cell r="F36">
            <v>30</v>
          </cell>
          <cell r="G36">
            <v>25</v>
          </cell>
          <cell r="H36">
            <v>0</v>
          </cell>
          <cell r="I36">
            <v>30</v>
          </cell>
          <cell r="J36">
            <v>25</v>
          </cell>
          <cell r="K36">
            <v>220</v>
          </cell>
          <cell r="L36">
            <v>40</v>
          </cell>
          <cell r="M36">
            <v>40</v>
          </cell>
          <cell r="N36">
            <v>0</v>
          </cell>
          <cell r="O36">
            <v>0</v>
          </cell>
          <cell r="P36">
            <v>80</v>
          </cell>
          <cell r="Q36">
            <v>40</v>
          </cell>
          <cell r="R36">
            <v>0</v>
          </cell>
          <cell r="S36">
            <v>40</v>
          </cell>
          <cell r="T36">
            <v>0</v>
          </cell>
          <cell r="U36">
            <v>0</v>
          </cell>
          <cell r="V36">
            <v>0</v>
          </cell>
          <cell r="W36">
            <v>25</v>
          </cell>
          <cell r="X36">
            <v>365</v>
          </cell>
        </row>
        <row r="37">
          <cell r="A37">
            <v>34</v>
          </cell>
          <cell r="B37" t="str">
            <v>Sebastián Aguirre</v>
          </cell>
          <cell r="C37">
            <v>25</v>
          </cell>
          <cell r="D37">
            <v>60</v>
          </cell>
          <cell r="E37">
            <v>60</v>
          </cell>
          <cell r="F37">
            <v>0</v>
          </cell>
          <cell r="G37">
            <v>25</v>
          </cell>
          <cell r="H37">
            <v>15</v>
          </cell>
          <cell r="I37">
            <v>60</v>
          </cell>
          <cell r="J37">
            <v>25</v>
          </cell>
          <cell r="K37">
            <v>270</v>
          </cell>
          <cell r="L37">
            <v>40</v>
          </cell>
          <cell r="M37">
            <v>60</v>
          </cell>
          <cell r="N37">
            <v>0</v>
          </cell>
          <cell r="O37">
            <v>0</v>
          </cell>
          <cell r="P37">
            <v>100</v>
          </cell>
          <cell r="Q37">
            <v>40</v>
          </cell>
          <cell r="R37">
            <v>0</v>
          </cell>
          <cell r="S37">
            <v>40</v>
          </cell>
          <cell r="T37">
            <v>0</v>
          </cell>
          <cell r="U37">
            <v>0</v>
          </cell>
          <cell r="V37">
            <v>0</v>
          </cell>
          <cell r="W37">
            <v>25</v>
          </cell>
          <cell r="X37">
            <v>435</v>
          </cell>
        </row>
        <row r="38">
          <cell r="A38">
            <v>35</v>
          </cell>
          <cell r="B38" t="str">
            <v>Martín Fonseca</v>
          </cell>
          <cell r="C38">
            <v>25</v>
          </cell>
          <cell r="D38">
            <v>60</v>
          </cell>
          <cell r="E38">
            <v>25</v>
          </cell>
          <cell r="F38">
            <v>0</v>
          </cell>
          <cell r="G38">
            <v>60</v>
          </cell>
          <cell r="H38">
            <v>0</v>
          </cell>
          <cell r="I38">
            <v>60</v>
          </cell>
          <cell r="J38">
            <v>25</v>
          </cell>
          <cell r="K38">
            <v>255</v>
          </cell>
          <cell r="L38">
            <v>80</v>
          </cell>
          <cell r="M38">
            <v>60</v>
          </cell>
          <cell r="N38">
            <v>0</v>
          </cell>
          <cell r="O38">
            <v>0</v>
          </cell>
          <cell r="P38">
            <v>140</v>
          </cell>
          <cell r="Q38">
            <v>40</v>
          </cell>
          <cell r="R38">
            <v>0</v>
          </cell>
          <cell r="S38">
            <v>40</v>
          </cell>
          <cell r="T38">
            <v>0</v>
          </cell>
          <cell r="U38">
            <v>55</v>
          </cell>
          <cell r="V38">
            <v>55</v>
          </cell>
          <cell r="W38">
            <v>60</v>
          </cell>
          <cell r="X38">
            <v>550</v>
          </cell>
        </row>
        <row r="39">
          <cell r="A39">
            <v>36</v>
          </cell>
          <cell r="B39" t="str">
            <v>Paulo &amp; Cia</v>
          </cell>
          <cell r="C39">
            <v>60</v>
          </cell>
          <cell r="D39">
            <v>60</v>
          </cell>
          <cell r="E39">
            <v>25</v>
          </cell>
          <cell r="F39">
            <v>30</v>
          </cell>
          <cell r="G39">
            <v>60</v>
          </cell>
          <cell r="H39">
            <v>15</v>
          </cell>
          <cell r="I39">
            <v>30</v>
          </cell>
          <cell r="J39">
            <v>25</v>
          </cell>
          <cell r="K39">
            <v>305</v>
          </cell>
          <cell r="L39">
            <v>80</v>
          </cell>
          <cell r="M39">
            <v>80</v>
          </cell>
          <cell r="N39">
            <v>0</v>
          </cell>
          <cell r="O39">
            <v>0</v>
          </cell>
          <cell r="P39">
            <v>160</v>
          </cell>
          <cell r="Q39">
            <v>40</v>
          </cell>
          <cell r="R39">
            <v>0</v>
          </cell>
          <cell r="S39">
            <v>40</v>
          </cell>
          <cell r="T39">
            <v>0</v>
          </cell>
          <cell r="U39">
            <v>0</v>
          </cell>
          <cell r="V39">
            <v>0</v>
          </cell>
          <cell r="W39">
            <v>25</v>
          </cell>
          <cell r="X39">
            <v>530</v>
          </cell>
        </row>
        <row r="40">
          <cell r="A40">
            <v>37</v>
          </cell>
          <cell r="B40" t="str">
            <v>Alejandro Fonseca</v>
          </cell>
          <cell r="C40">
            <v>25</v>
          </cell>
          <cell r="D40">
            <v>60</v>
          </cell>
          <cell r="E40">
            <v>25</v>
          </cell>
          <cell r="F40">
            <v>30</v>
          </cell>
          <cell r="G40">
            <v>60</v>
          </cell>
          <cell r="H40">
            <v>15</v>
          </cell>
          <cell r="I40">
            <v>60</v>
          </cell>
          <cell r="J40">
            <v>25</v>
          </cell>
          <cell r="K40">
            <v>300</v>
          </cell>
          <cell r="L40">
            <v>80</v>
          </cell>
          <cell r="M40">
            <v>60</v>
          </cell>
          <cell r="N40">
            <v>0</v>
          </cell>
          <cell r="O40">
            <v>0</v>
          </cell>
          <cell r="P40">
            <v>140</v>
          </cell>
          <cell r="Q40">
            <v>40</v>
          </cell>
          <cell r="R40">
            <v>0</v>
          </cell>
          <cell r="S40">
            <v>40</v>
          </cell>
          <cell r="T40">
            <v>0</v>
          </cell>
          <cell r="U40">
            <v>55</v>
          </cell>
          <cell r="V40">
            <v>55</v>
          </cell>
          <cell r="W40">
            <v>60</v>
          </cell>
          <cell r="X40">
            <v>595</v>
          </cell>
        </row>
        <row r="41">
          <cell r="A41">
            <v>38</v>
          </cell>
          <cell r="B41" t="str">
            <v>Juan Carlos Pelaez</v>
          </cell>
          <cell r="C41">
            <v>25</v>
          </cell>
          <cell r="D41">
            <v>60</v>
          </cell>
          <cell r="E41">
            <v>25</v>
          </cell>
          <cell r="F41">
            <v>0</v>
          </cell>
          <cell r="G41">
            <v>60</v>
          </cell>
          <cell r="H41">
            <v>0</v>
          </cell>
          <cell r="I41">
            <v>30</v>
          </cell>
          <cell r="J41">
            <v>25</v>
          </cell>
          <cell r="K41">
            <v>225</v>
          </cell>
          <cell r="L41">
            <v>80</v>
          </cell>
          <cell r="M41">
            <v>80</v>
          </cell>
          <cell r="N41">
            <v>0</v>
          </cell>
          <cell r="O41">
            <v>0</v>
          </cell>
          <cell r="P41">
            <v>160</v>
          </cell>
          <cell r="Q41">
            <v>40</v>
          </cell>
          <cell r="R41">
            <v>0</v>
          </cell>
          <cell r="S41">
            <v>40</v>
          </cell>
          <cell r="T41">
            <v>0</v>
          </cell>
          <cell r="U41">
            <v>0</v>
          </cell>
          <cell r="V41">
            <v>0</v>
          </cell>
          <cell r="W41">
            <v>25</v>
          </cell>
          <cell r="X41">
            <v>450</v>
          </cell>
        </row>
        <row r="42">
          <cell r="A42">
            <v>39</v>
          </cell>
          <cell r="B42" t="str">
            <v>Oscar Cuervo</v>
          </cell>
          <cell r="C42">
            <v>60</v>
          </cell>
          <cell r="D42">
            <v>60</v>
          </cell>
          <cell r="E42">
            <v>60</v>
          </cell>
          <cell r="F42">
            <v>30</v>
          </cell>
          <cell r="G42">
            <v>25</v>
          </cell>
          <cell r="H42">
            <v>15</v>
          </cell>
          <cell r="I42">
            <v>30</v>
          </cell>
          <cell r="J42">
            <v>25</v>
          </cell>
          <cell r="K42">
            <v>305</v>
          </cell>
          <cell r="L42">
            <v>40</v>
          </cell>
          <cell r="M42">
            <v>40</v>
          </cell>
          <cell r="N42">
            <v>0</v>
          </cell>
          <cell r="O42">
            <v>0</v>
          </cell>
          <cell r="P42">
            <v>80</v>
          </cell>
          <cell r="Q42">
            <v>40</v>
          </cell>
          <cell r="R42">
            <v>0</v>
          </cell>
          <cell r="S42">
            <v>40</v>
          </cell>
          <cell r="T42">
            <v>0</v>
          </cell>
          <cell r="U42">
            <v>55</v>
          </cell>
          <cell r="V42">
            <v>55</v>
          </cell>
          <cell r="W42">
            <v>65</v>
          </cell>
          <cell r="X42">
            <v>545</v>
          </cell>
        </row>
        <row r="43">
          <cell r="A43">
            <v>40</v>
          </cell>
          <cell r="B43" t="str">
            <v>Asmed Garcia</v>
          </cell>
          <cell r="C43">
            <v>60</v>
          </cell>
          <cell r="D43">
            <v>60</v>
          </cell>
          <cell r="E43">
            <v>25</v>
          </cell>
          <cell r="F43">
            <v>30</v>
          </cell>
          <cell r="G43">
            <v>60</v>
          </cell>
          <cell r="H43">
            <v>15</v>
          </cell>
          <cell r="I43">
            <v>30</v>
          </cell>
          <cell r="J43">
            <v>25</v>
          </cell>
          <cell r="K43">
            <v>305</v>
          </cell>
          <cell r="L43">
            <v>20</v>
          </cell>
          <cell r="M43">
            <v>80</v>
          </cell>
          <cell r="N43">
            <v>0</v>
          </cell>
          <cell r="O43">
            <v>0</v>
          </cell>
          <cell r="P43">
            <v>100</v>
          </cell>
          <cell r="Q43">
            <v>20</v>
          </cell>
          <cell r="R43">
            <v>0</v>
          </cell>
          <cell r="S43">
            <v>20</v>
          </cell>
          <cell r="T43">
            <v>0</v>
          </cell>
          <cell r="U43">
            <v>0</v>
          </cell>
          <cell r="V43">
            <v>0</v>
          </cell>
          <cell r="W43">
            <v>25</v>
          </cell>
          <cell r="X43">
            <v>450</v>
          </cell>
        </row>
        <row r="44">
          <cell r="A44">
            <v>41</v>
          </cell>
          <cell r="B44" t="str">
            <v>Juan Fernando Fonseca</v>
          </cell>
          <cell r="C44">
            <v>60</v>
          </cell>
          <cell r="D44">
            <v>60</v>
          </cell>
          <cell r="E44">
            <v>60</v>
          </cell>
          <cell r="F44">
            <v>30</v>
          </cell>
          <cell r="G44">
            <v>25</v>
          </cell>
          <cell r="H44">
            <v>0</v>
          </cell>
          <cell r="I44">
            <v>30</v>
          </cell>
          <cell r="J44">
            <v>60</v>
          </cell>
          <cell r="K44">
            <v>325</v>
          </cell>
          <cell r="L44">
            <v>40</v>
          </cell>
          <cell r="M44">
            <v>80</v>
          </cell>
          <cell r="N44">
            <v>0</v>
          </cell>
          <cell r="O44">
            <v>0</v>
          </cell>
          <cell r="P44">
            <v>120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445</v>
          </cell>
        </row>
        <row r="45">
          <cell r="A45">
            <v>42</v>
          </cell>
          <cell r="B45" t="str">
            <v>Sandra Díez</v>
          </cell>
          <cell r="C45">
            <v>60</v>
          </cell>
          <cell r="D45">
            <v>60</v>
          </cell>
          <cell r="E45">
            <v>25</v>
          </cell>
          <cell r="F45">
            <v>30</v>
          </cell>
          <cell r="G45">
            <v>25</v>
          </cell>
          <cell r="H45">
            <v>0</v>
          </cell>
          <cell r="I45">
            <v>30</v>
          </cell>
          <cell r="J45">
            <v>25</v>
          </cell>
          <cell r="K45">
            <v>255</v>
          </cell>
          <cell r="L45">
            <v>40</v>
          </cell>
          <cell r="M45">
            <v>80</v>
          </cell>
          <cell r="N45">
            <v>0</v>
          </cell>
          <cell r="O45">
            <v>0</v>
          </cell>
          <cell r="P45">
            <v>120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375</v>
          </cell>
        </row>
        <row r="46">
          <cell r="A46">
            <v>43</v>
          </cell>
          <cell r="B46" t="str">
            <v>Ale Fonseca D</v>
          </cell>
          <cell r="C46">
            <v>60</v>
          </cell>
          <cell r="D46">
            <v>30</v>
          </cell>
          <cell r="E46">
            <v>25</v>
          </cell>
          <cell r="F46">
            <v>0</v>
          </cell>
          <cell r="G46">
            <v>25</v>
          </cell>
          <cell r="H46">
            <v>15</v>
          </cell>
          <cell r="I46">
            <v>30</v>
          </cell>
          <cell r="J46">
            <v>25</v>
          </cell>
          <cell r="K46">
            <v>210</v>
          </cell>
          <cell r="L46">
            <v>40</v>
          </cell>
          <cell r="M46">
            <v>80</v>
          </cell>
          <cell r="N46">
            <v>0</v>
          </cell>
          <cell r="O46">
            <v>0</v>
          </cell>
          <cell r="P46">
            <v>120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330</v>
          </cell>
        </row>
        <row r="47">
          <cell r="A47">
            <v>44</v>
          </cell>
          <cell r="B47" t="str">
            <v>Luis Eduardo Fonseca</v>
          </cell>
          <cell r="C47">
            <v>25</v>
          </cell>
          <cell r="D47">
            <v>60</v>
          </cell>
          <cell r="E47">
            <v>60</v>
          </cell>
          <cell r="F47">
            <v>0</v>
          </cell>
          <cell r="G47">
            <v>25</v>
          </cell>
          <cell r="H47">
            <v>15</v>
          </cell>
          <cell r="I47">
            <v>60</v>
          </cell>
          <cell r="J47">
            <v>25</v>
          </cell>
          <cell r="K47">
            <v>270</v>
          </cell>
          <cell r="L47">
            <v>80</v>
          </cell>
          <cell r="M47">
            <v>60</v>
          </cell>
          <cell r="N47">
            <v>0</v>
          </cell>
          <cell r="O47">
            <v>0</v>
          </cell>
          <cell r="P47">
            <v>140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410</v>
          </cell>
        </row>
        <row r="48">
          <cell r="A48">
            <v>45</v>
          </cell>
          <cell r="B48" t="str">
            <v>Hernando Garcia</v>
          </cell>
          <cell r="C48">
            <v>15</v>
          </cell>
          <cell r="D48">
            <v>30</v>
          </cell>
          <cell r="E48">
            <v>60</v>
          </cell>
          <cell r="F48">
            <v>60</v>
          </cell>
          <cell r="G48">
            <v>60</v>
          </cell>
          <cell r="H48">
            <v>0</v>
          </cell>
          <cell r="I48">
            <v>60</v>
          </cell>
          <cell r="J48">
            <v>25</v>
          </cell>
          <cell r="K48">
            <v>310</v>
          </cell>
          <cell r="L48">
            <v>0</v>
          </cell>
          <cell r="M48">
            <v>60</v>
          </cell>
          <cell r="N48">
            <v>0</v>
          </cell>
          <cell r="O48">
            <v>0</v>
          </cell>
          <cell r="P48">
            <v>60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370</v>
          </cell>
        </row>
        <row r="49">
          <cell r="A49">
            <v>46</v>
          </cell>
          <cell r="B49" t="str">
            <v>Alvaro Holguin</v>
          </cell>
          <cell r="C49">
            <v>25</v>
          </cell>
          <cell r="D49">
            <v>30</v>
          </cell>
          <cell r="E49">
            <v>25</v>
          </cell>
          <cell r="F49">
            <v>0</v>
          </cell>
          <cell r="G49">
            <v>25</v>
          </cell>
          <cell r="H49">
            <v>15</v>
          </cell>
          <cell r="I49">
            <v>30</v>
          </cell>
          <cell r="J49">
            <v>25</v>
          </cell>
          <cell r="K49">
            <v>175</v>
          </cell>
          <cell r="L49">
            <v>40</v>
          </cell>
          <cell r="M49">
            <v>80</v>
          </cell>
          <cell r="N49">
            <v>0</v>
          </cell>
          <cell r="O49">
            <v>0</v>
          </cell>
          <cell r="P49">
            <v>120</v>
          </cell>
          <cell r="Q49">
            <v>40</v>
          </cell>
          <cell r="R49">
            <v>0</v>
          </cell>
          <cell r="S49">
            <v>40</v>
          </cell>
          <cell r="T49">
            <v>0</v>
          </cell>
          <cell r="U49">
            <v>55</v>
          </cell>
          <cell r="V49">
            <v>55</v>
          </cell>
          <cell r="W49">
            <v>25</v>
          </cell>
          <cell r="X49">
            <v>415</v>
          </cell>
        </row>
        <row r="50">
          <cell r="A50">
            <v>47</v>
          </cell>
          <cell r="B50" t="str">
            <v>Ernesto C Lemaitre F</v>
          </cell>
          <cell r="C50">
            <v>60</v>
          </cell>
          <cell r="D50">
            <v>60</v>
          </cell>
          <cell r="E50">
            <v>60</v>
          </cell>
          <cell r="F50">
            <v>30</v>
          </cell>
          <cell r="G50">
            <v>60</v>
          </cell>
          <cell r="H50">
            <v>15</v>
          </cell>
          <cell r="I50">
            <v>60</v>
          </cell>
          <cell r="J50">
            <v>0</v>
          </cell>
          <cell r="K50">
            <v>345</v>
          </cell>
          <cell r="L50">
            <v>40</v>
          </cell>
          <cell r="M50">
            <v>60</v>
          </cell>
          <cell r="N50">
            <v>20</v>
          </cell>
          <cell r="O50">
            <v>0</v>
          </cell>
          <cell r="P50">
            <v>120</v>
          </cell>
          <cell r="Q50">
            <v>40</v>
          </cell>
          <cell r="R50">
            <v>0</v>
          </cell>
          <cell r="S50">
            <v>40</v>
          </cell>
          <cell r="T50">
            <v>0</v>
          </cell>
          <cell r="U50">
            <v>0</v>
          </cell>
          <cell r="V50">
            <v>0</v>
          </cell>
          <cell r="W50">
            <v>25</v>
          </cell>
          <cell r="X50">
            <v>530</v>
          </cell>
        </row>
        <row r="51">
          <cell r="A51">
            <v>48</v>
          </cell>
          <cell r="B51" t="str">
            <v>Alejandro-Camilo Borrero</v>
          </cell>
          <cell r="C51">
            <v>60</v>
          </cell>
          <cell r="D51">
            <v>60</v>
          </cell>
          <cell r="E51">
            <v>25</v>
          </cell>
          <cell r="F51">
            <v>30</v>
          </cell>
          <cell r="G51">
            <v>60</v>
          </cell>
          <cell r="H51">
            <v>15</v>
          </cell>
          <cell r="I51">
            <v>30</v>
          </cell>
          <cell r="J51">
            <v>60</v>
          </cell>
          <cell r="K51">
            <v>340</v>
          </cell>
          <cell r="L51">
            <v>40</v>
          </cell>
          <cell r="M51">
            <v>80</v>
          </cell>
          <cell r="N51">
            <v>0</v>
          </cell>
          <cell r="O51">
            <v>0</v>
          </cell>
          <cell r="P51">
            <v>120</v>
          </cell>
          <cell r="Q51">
            <v>40</v>
          </cell>
          <cell r="R51">
            <v>0</v>
          </cell>
          <cell r="S51">
            <v>40</v>
          </cell>
          <cell r="T51">
            <v>0</v>
          </cell>
          <cell r="U51">
            <v>0</v>
          </cell>
          <cell r="V51">
            <v>0</v>
          </cell>
          <cell r="W51">
            <v>25</v>
          </cell>
          <cell r="X51">
            <v>525</v>
          </cell>
        </row>
        <row r="52">
          <cell r="A52">
            <v>49</v>
          </cell>
          <cell r="B52" t="str">
            <v>Toqui - Estefania - Daniel</v>
          </cell>
          <cell r="C52">
            <v>30</v>
          </cell>
          <cell r="D52">
            <v>30</v>
          </cell>
          <cell r="E52">
            <v>25</v>
          </cell>
          <cell r="F52">
            <v>0</v>
          </cell>
          <cell r="G52">
            <v>60</v>
          </cell>
          <cell r="H52">
            <v>15</v>
          </cell>
          <cell r="I52">
            <v>30</v>
          </cell>
          <cell r="J52">
            <v>60</v>
          </cell>
          <cell r="K52">
            <v>250</v>
          </cell>
          <cell r="L52">
            <v>40</v>
          </cell>
          <cell r="M52">
            <v>40</v>
          </cell>
          <cell r="N52">
            <v>0</v>
          </cell>
          <cell r="O52">
            <v>20</v>
          </cell>
          <cell r="P52">
            <v>100</v>
          </cell>
          <cell r="Q52">
            <v>40</v>
          </cell>
          <cell r="R52">
            <v>0</v>
          </cell>
          <cell r="S52">
            <v>40</v>
          </cell>
          <cell r="T52">
            <v>0</v>
          </cell>
          <cell r="U52">
            <v>55</v>
          </cell>
          <cell r="V52">
            <v>55</v>
          </cell>
          <cell r="W52">
            <v>25</v>
          </cell>
          <cell r="X52">
            <v>470</v>
          </cell>
        </row>
        <row r="53">
          <cell r="A53">
            <v>50</v>
          </cell>
          <cell r="B53" t="str">
            <v>Toqui Lemaitre</v>
          </cell>
          <cell r="C53">
            <v>25</v>
          </cell>
          <cell r="D53">
            <v>60</v>
          </cell>
          <cell r="E53">
            <v>60</v>
          </cell>
          <cell r="F53">
            <v>60</v>
          </cell>
          <cell r="G53">
            <v>25</v>
          </cell>
          <cell r="H53">
            <v>0</v>
          </cell>
          <cell r="I53">
            <v>30</v>
          </cell>
          <cell r="J53">
            <v>25</v>
          </cell>
          <cell r="K53">
            <v>285</v>
          </cell>
          <cell r="L53">
            <v>80</v>
          </cell>
          <cell r="M53">
            <v>40</v>
          </cell>
          <cell r="N53">
            <v>0</v>
          </cell>
          <cell r="O53">
            <v>40</v>
          </cell>
          <cell r="P53">
            <v>160</v>
          </cell>
          <cell r="Q53">
            <v>40</v>
          </cell>
          <cell r="R53">
            <v>0</v>
          </cell>
          <cell r="S53">
            <v>40</v>
          </cell>
          <cell r="T53">
            <v>0</v>
          </cell>
          <cell r="U53">
            <v>0</v>
          </cell>
          <cell r="V53">
            <v>0</v>
          </cell>
          <cell r="W53">
            <v>25</v>
          </cell>
          <cell r="X53">
            <v>510</v>
          </cell>
        </row>
        <row r="54">
          <cell r="A54">
            <v>51</v>
          </cell>
          <cell r="B54" t="str">
            <v>Christian Hassig</v>
          </cell>
          <cell r="C54">
            <v>60</v>
          </cell>
          <cell r="D54">
            <v>60</v>
          </cell>
          <cell r="E54">
            <v>60</v>
          </cell>
          <cell r="F54">
            <v>30</v>
          </cell>
          <cell r="G54">
            <v>25</v>
          </cell>
          <cell r="H54">
            <v>15</v>
          </cell>
          <cell r="I54">
            <v>30</v>
          </cell>
          <cell r="J54">
            <v>0</v>
          </cell>
          <cell r="K54">
            <v>280</v>
          </cell>
          <cell r="L54">
            <v>40</v>
          </cell>
          <cell r="M54">
            <v>40</v>
          </cell>
          <cell r="N54">
            <v>40</v>
          </cell>
          <cell r="O54">
            <v>0</v>
          </cell>
          <cell r="P54">
            <v>120</v>
          </cell>
          <cell r="Q54">
            <v>40</v>
          </cell>
          <cell r="R54">
            <v>0</v>
          </cell>
          <cell r="S54">
            <v>40</v>
          </cell>
          <cell r="T54">
            <v>0</v>
          </cell>
          <cell r="U54">
            <v>0</v>
          </cell>
          <cell r="V54">
            <v>0</v>
          </cell>
          <cell r="W54">
            <v>25</v>
          </cell>
          <cell r="X54">
            <v>465</v>
          </cell>
        </row>
        <row r="55">
          <cell r="A55" t="str">
            <v>.</v>
          </cell>
          <cell r="B55" t="str">
            <v>.</v>
          </cell>
          <cell r="C55" t="str">
            <v>.</v>
          </cell>
          <cell r="D55" t="str">
            <v>.</v>
          </cell>
          <cell r="E55" t="str">
            <v>.</v>
          </cell>
          <cell r="F55" t="str">
            <v>.</v>
          </cell>
          <cell r="G55" t="str">
            <v>.</v>
          </cell>
          <cell r="H55" t="str">
            <v>.</v>
          </cell>
          <cell r="I55" t="str">
            <v>.</v>
          </cell>
          <cell r="J55" t="str">
            <v>.</v>
          </cell>
          <cell r="K55" t="str">
            <v>.</v>
          </cell>
          <cell r="L55" t="str">
            <v>.</v>
          </cell>
          <cell r="M55" t="str">
            <v>.</v>
          </cell>
          <cell r="N55" t="str">
            <v>.</v>
          </cell>
          <cell r="O55" t="str">
            <v>.</v>
          </cell>
          <cell r="P55" t="str">
            <v>.</v>
          </cell>
          <cell r="Q55" t="str">
            <v>.</v>
          </cell>
          <cell r="R55" t="str">
            <v>.</v>
          </cell>
          <cell r="S55" t="str">
            <v>.</v>
          </cell>
          <cell r="T55" t="str">
            <v>.</v>
          </cell>
          <cell r="U55" t="str">
            <v>.</v>
          </cell>
          <cell r="V55" t="str">
            <v>.</v>
          </cell>
          <cell r="W55" t="str">
            <v>.</v>
          </cell>
          <cell r="X55" t="str">
            <v>.</v>
          </cell>
        </row>
        <row r="57">
          <cell r="J57" t="str">
            <v xml:space="preserve">"=SI(CONCATENAR(Equipos!$AI53,Equipos!$AJ53,Equipos!$AK53,Equipos!$AL53)=CONCATENAR(Equipos!$AI$2,Equipos!$AJ$2,Equipos!$AK$2,Equipos!$AL$2),Puntajes!$D102,SI(CONCATENAR(Equipos!$AL53,Equipos!$AK53,Equipos!$AJ53,Equipos!$AI53)=CONCATENAR(Equipos!$AI$2,Equipos!$AJ$2,Equipos!$AK$2,Equipos!$AL$2),Puntajes!$D103,SI(Equipos!$AI53=Equipos!$AI$2,Puntajes!$D104,SI(O(Equipos!$AI53=Equipos!$AJ$2,Equipos!$AI53=Equipos!$AK$2,Equipos!$AI53=Equipos!$AL$2),Puntajes!$D108,0))+SI(Equipos!$AJ53=Equipos!$AJ$2,Puntajes!$D105,SI(O(Equipos!$AJ53=Equipos!$AI$2,Equipos!$AJ53=Equipos!$AK$2,Equipos!$AJ53=Equipos!$AL$2),Puntajes!$D108,0))+SI(Equipos!$AK53=Equipos!$AK$2,Puntajes!$D106,SI(O(Equipos!$AK53=Equipos!$AI$2,Equipos!$AK53=Equipos!$AJ$2,Equipos!$AK53=Equipos!$AL$2),Puntajes!$D108,0))+SI(Equipos!$AL53=Equipos!$AL$2,Puntajes!$D107,SI(O(Equipos!$AL53=Equipos!$AI$2,Equipos!$AL53=Equipos!$AJ$2,Equipos!$AL53=Equipos!$AK$2),Puntajes!$D108,0))))
</v>
          </cell>
        </row>
      </sheetData>
      <sheetData sheetId="13">
        <row r="1">
          <cell r="A1" t="str">
            <v>Form.No.</v>
          </cell>
          <cell r="B1" t="str">
            <v>Extras</v>
          </cell>
          <cell r="C1" t="str">
            <v>Número Total de Goles</v>
          </cell>
          <cell r="D1" t="str">
            <v>Jugador Goleador</v>
          </cell>
          <cell r="E1" t="str">
            <v xml:space="preserve">Número de Goles </v>
          </cell>
          <cell r="F1" t="str">
            <v>Equipo  Primer Gol</v>
          </cell>
          <cell r="G1" t="str">
            <v>Equipo  Ultimo Gol</v>
          </cell>
          <cell r="H1" t="str">
            <v>Equipo Gol No. 50</v>
          </cell>
          <cell r="I1" t="str">
            <v>Equipo  Gol No. 100</v>
          </cell>
          <cell r="J1" t="str">
            <v>Equipo Ultimo Lugar</v>
          </cell>
          <cell r="K1" t="str">
            <v>Equipo + Goles a favor</v>
          </cell>
          <cell r="L1" t="str">
            <v>Equipo + Goles en contra</v>
          </cell>
          <cell r="M1" t="str">
            <v>Equipo - Goles a favor</v>
          </cell>
          <cell r="N1" t="str">
            <v>Equipo - goles en contra</v>
          </cell>
          <cell r="O1" t="str">
            <v>Continente Campeón</v>
          </cell>
          <cell r="P1" t="str">
            <v>Continente Sub-campeón</v>
          </cell>
          <cell r="Q1" t="str">
            <v>Total Extras Grales</v>
          </cell>
          <cell r="R1" t="str">
            <v>Anotador 1er Gol</v>
          </cell>
          <cell r="S1" t="str">
            <v>Anotador Ultimo Gol</v>
          </cell>
          <cell r="T1" t="str">
            <v>Total goles Favor</v>
          </cell>
          <cell r="U1" t="str">
            <v>Total goles Contra</v>
          </cell>
          <cell r="V1" t="str">
            <v>Posición Tabla</v>
          </cell>
          <cell r="W1" t="str">
            <v>Extras Colombia</v>
          </cell>
        </row>
        <row r="2">
          <cell r="A2">
            <v>0</v>
          </cell>
          <cell r="B2" t="str">
            <v>Resultado</v>
          </cell>
          <cell r="C2">
            <v>169</v>
          </cell>
          <cell r="D2" t="str">
            <v>KANE</v>
          </cell>
          <cell r="E2">
            <v>6</v>
          </cell>
          <cell r="F2" t="str">
            <v>RUS</v>
          </cell>
          <cell r="G2" t="str">
            <v>CRO</v>
          </cell>
          <cell r="H2" t="str">
            <v>CRO</v>
          </cell>
          <cell r="I2" t="str">
            <v>ARG</v>
          </cell>
          <cell r="J2" t="str">
            <v>PAN</v>
          </cell>
          <cell r="K2" t="str">
            <v>BEL</v>
          </cell>
          <cell r="L2" t="str">
            <v>PAN</v>
          </cell>
          <cell r="M2" t="str">
            <v>ARA EGI IRA MAR PER AUS ISL SER COS ALE PAN POL</v>
          </cell>
          <cell r="N2" t="str">
            <v>PER IRA DIN</v>
          </cell>
          <cell r="O2" t="str">
            <v>EUR</v>
          </cell>
          <cell r="P2" t="str">
            <v>EUR</v>
          </cell>
          <cell r="R2" t="str">
            <v>QUINTERO</v>
          </cell>
          <cell r="S2" t="str">
            <v>MINA</v>
          </cell>
          <cell r="T2">
            <v>6</v>
          </cell>
          <cell r="U2">
            <v>3</v>
          </cell>
          <cell r="V2">
            <v>9</v>
          </cell>
        </row>
        <row r="3">
          <cell r="B3" t="str">
            <v>Puntos Otorgados</v>
          </cell>
          <cell r="C3">
            <v>110</v>
          </cell>
          <cell r="D3">
            <v>50</v>
          </cell>
          <cell r="E3">
            <v>50</v>
          </cell>
          <cell r="F3">
            <v>25</v>
          </cell>
          <cell r="G3">
            <v>25</v>
          </cell>
          <cell r="H3">
            <v>40</v>
          </cell>
          <cell r="I3">
            <v>40</v>
          </cell>
          <cell r="J3">
            <v>40</v>
          </cell>
          <cell r="K3">
            <v>40</v>
          </cell>
          <cell r="L3">
            <v>40</v>
          </cell>
          <cell r="M3">
            <v>40</v>
          </cell>
          <cell r="N3">
            <v>40</v>
          </cell>
          <cell r="O3">
            <v>25</v>
          </cell>
          <cell r="P3">
            <v>25</v>
          </cell>
          <cell r="Q3">
            <v>590</v>
          </cell>
          <cell r="R3">
            <v>50</v>
          </cell>
          <cell r="S3">
            <v>50</v>
          </cell>
          <cell r="T3">
            <v>65</v>
          </cell>
          <cell r="U3">
            <v>65</v>
          </cell>
          <cell r="V3">
            <v>100</v>
          </cell>
          <cell r="W3">
            <v>330</v>
          </cell>
        </row>
        <row r="4">
          <cell r="A4">
            <v>1</v>
          </cell>
          <cell r="B4" t="str">
            <v>María Eugenia de Lemaitre</v>
          </cell>
          <cell r="C4">
            <v>162</v>
          </cell>
          <cell r="D4" t="str">
            <v>MESSI</v>
          </cell>
          <cell r="E4">
            <v>7</v>
          </cell>
          <cell r="F4" t="str">
            <v>RUS</v>
          </cell>
          <cell r="G4" t="str">
            <v>ALE</v>
          </cell>
          <cell r="H4" t="str">
            <v>ARG</v>
          </cell>
          <cell r="I4" t="str">
            <v>MEX</v>
          </cell>
          <cell r="J4" t="str">
            <v>ISL</v>
          </cell>
          <cell r="K4" t="str">
            <v>ALE</v>
          </cell>
          <cell r="L4" t="str">
            <v>COR</v>
          </cell>
          <cell r="M4" t="str">
            <v>PAN</v>
          </cell>
          <cell r="N4" t="str">
            <v>RUS</v>
          </cell>
          <cell r="O4" t="str">
            <v>EUR</v>
          </cell>
          <cell r="P4" t="str">
            <v>EUR</v>
          </cell>
          <cell r="Q4">
            <v>105</v>
          </cell>
          <cell r="R4" t="str">
            <v>FALCAO</v>
          </cell>
          <cell r="S4" t="str">
            <v>BACCA</v>
          </cell>
          <cell r="T4">
            <v>6</v>
          </cell>
          <cell r="U4">
            <v>4</v>
          </cell>
          <cell r="V4">
            <v>13</v>
          </cell>
          <cell r="W4">
            <v>65</v>
          </cell>
        </row>
        <row r="5">
          <cell r="A5">
            <v>2</v>
          </cell>
          <cell r="B5" t="str">
            <v>Andres &amp; JuanB Harker</v>
          </cell>
          <cell r="C5">
            <v>199</v>
          </cell>
          <cell r="D5" t="str">
            <v>NEYMAR</v>
          </cell>
          <cell r="E5">
            <v>6</v>
          </cell>
          <cell r="F5" t="str">
            <v>RUS</v>
          </cell>
          <cell r="G5" t="str">
            <v>ESP</v>
          </cell>
          <cell r="H5" t="str">
            <v>COL</v>
          </cell>
          <cell r="I5" t="str">
            <v>URU</v>
          </cell>
          <cell r="J5" t="str">
            <v>TUN</v>
          </cell>
          <cell r="K5" t="str">
            <v>ESP</v>
          </cell>
          <cell r="L5" t="str">
            <v>TUN</v>
          </cell>
          <cell r="M5" t="str">
            <v>TUN</v>
          </cell>
          <cell r="N5" t="str">
            <v>BRA</v>
          </cell>
          <cell r="O5" t="str">
            <v>EUR</v>
          </cell>
          <cell r="P5" t="str">
            <v>AME</v>
          </cell>
          <cell r="Q5">
            <v>100</v>
          </cell>
          <cell r="R5" t="str">
            <v>FALCAO</v>
          </cell>
          <cell r="S5" t="str">
            <v>BORJA</v>
          </cell>
          <cell r="T5">
            <v>11</v>
          </cell>
          <cell r="U5">
            <v>7</v>
          </cell>
          <cell r="V5">
            <v>7</v>
          </cell>
          <cell r="W5">
            <v>0</v>
          </cell>
        </row>
        <row r="6">
          <cell r="A6">
            <v>3</v>
          </cell>
          <cell r="B6" t="str">
            <v>Alexandra &amp; Camilo</v>
          </cell>
          <cell r="C6">
            <v>168</v>
          </cell>
          <cell r="D6" t="str">
            <v>MESSI</v>
          </cell>
          <cell r="E6">
            <v>10</v>
          </cell>
          <cell r="F6" t="str">
            <v>RUS</v>
          </cell>
          <cell r="G6" t="str">
            <v>ARG</v>
          </cell>
          <cell r="H6" t="str">
            <v>DIN</v>
          </cell>
          <cell r="I6" t="str">
            <v>ARG</v>
          </cell>
          <cell r="J6" t="str">
            <v>ARA</v>
          </cell>
          <cell r="K6" t="str">
            <v>BRA</v>
          </cell>
          <cell r="L6" t="str">
            <v>ARA</v>
          </cell>
          <cell r="M6" t="str">
            <v>ARA</v>
          </cell>
          <cell r="N6" t="str">
            <v>ALE</v>
          </cell>
          <cell r="O6" t="str">
            <v>AME</v>
          </cell>
          <cell r="P6" t="str">
            <v>AME</v>
          </cell>
          <cell r="Q6">
            <v>95</v>
          </cell>
          <cell r="R6" t="str">
            <v>CUADRADO</v>
          </cell>
          <cell r="S6" t="str">
            <v>FALCAO</v>
          </cell>
          <cell r="T6">
            <v>8</v>
          </cell>
          <cell r="U6">
            <v>6</v>
          </cell>
          <cell r="V6">
            <v>6</v>
          </cell>
          <cell r="W6">
            <v>0</v>
          </cell>
        </row>
        <row r="7">
          <cell r="A7">
            <v>4</v>
          </cell>
          <cell r="B7" t="str">
            <v>Pierre &amp; Magdalena</v>
          </cell>
          <cell r="C7">
            <v>168</v>
          </cell>
          <cell r="D7" t="str">
            <v>NEYMAR</v>
          </cell>
          <cell r="E7">
            <v>7</v>
          </cell>
          <cell r="F7" t="str">
            <v>RUS</v>
          </cell>
          <cell r="G7" t="str">
            <v>BRA</v>
          </cell>
          <cell r="H7" t="str">
            <v>URU</v>
          </cell>
          <cell r="I7" t="str">
            <v>FRA</v>
          </cell>
          <cell r="J7" t="str">
            <v>MAR</v>
          </cell>
          <cell r="K7" t="str">
            <v>BRA</v>
          </cell>
          <cell r="L7" t="str">
            <v>MAR</v>
          </cell>
          <cell r="M7" t="str">
            <v>ISL</v>
          </cell>
          <cell r="N7" t="str">
            <v>ALE</v>
          </cell>
          <cell r="O7" t="str">
            <v>AME</v>
          </cell>
          <cell r="P7" t="str">
            <v>EUR</v>
          </cell>
          <cell r="Q7">
            <v>80</v>
          </cell>
          <cell r="R7" t="str">
            <v>JAMES</v>
          </cell>
          <cell r="S7" t="str">
            <v>FALCAO</v>
          </cell>
          <cell r="T7">
            <v>9</v>
          </cell>
          <cell r="U7">
            <v>4</v>
          </cell>
          <cell r="V7">
            <v>6</v>
          </cell>
          <cell r="W7">
            <v>0</v>
          </cell>
        </row>
        <row r="8">
          <cell r="A8">
            <v>5</v>
          </cell>
          <cell r="B8" t="str">
            <v>Fernando Yañez</v>
          </cell>
          <cell r="C8">
            <v>170</v>
          </cell>
          <cell r="D8" t="str">
            <v>NEYMAR</v>
          </cell>
          <cell r="E8">
            <v>7</v>
          </cell>
          <cell r="F8" t="str">
            <v>RUS</v>
          </cell>
          <cell r="G8" t="str">
            <v>ALE</v>
          </cell>
          <cell r="H8" t="str">
            <v>FRA</v>
          </cell>
          <cell r="I8" t="str">
            <v>ALE</v>
          </cell>
          <cell r="J8" t="str">
            <v>COR</v>
          </cell>
          <cell r="K8" t="str">
            <v>BRA</v>
          </cell>
          <cell r="L8" t="str">
            <v>TUN</v>
          </cell>
          <cell r="M8" t="str">
            <v>SEN</v>
          </cell>
          <cell r="N8" t="str">
            <v>ALE</v>
          </cell>
          <cell r="O8" t="str">
            <v>AME</v>
          </cell>
          <cell r="P8" t="str">
            <v>EUR</v>
          </cell>
          <cell r="Q8">
            <v>50</v>
          </cell>
          <cell r="R8" t="str">
            <v>JAMES</v>
          </cell>
          <cell r="S8" t="str">
            <v>FALCAO</v>
          </cell>
          <cell r="T8">
            <v>10</v>
          </cell>
          <cell r="U8">
            <v>6</v>
          </cell>
          <cell r="V8">
            <v>5</v>
          </cell>
          <cell r="W8">
            <v>0</v>
          </cell>
        </row>
        <row r="9">
          <cell r="A9">
            <v>6</v>
          </cell>
          <cell r="B9" t="str">
            <v>Gonzalo Fonseca</v>
          </cell>
          <cell r="C9">
            <v>187</v>
          </cell>
          <cell r="D9" t="str">
            <v>GABRIEL DE JESUS</v>
          </cell>
          <cell r="E9">
            <v>6</v>
          </cell>
          <cell r="F9" t="str">
            <v>RUS</v>
          </cell>
          <cell r="G9" t="str">
            <v>BRA</v>
          </cell>
          <cell r="H9" t="str">
            <v>ESP</v>
          </cell>
          <cell r="I9" t="str">
            <v>CRO</v>
          </cell>
          <cell r="J9" t="str">
            <v>IRA</v>
          </cell>
          <cell r="K9" t="str">
            <v>BRA</v>
          </cell>
          <cell r="L9" t="str">
            <v>IRA</v>
          </cell>
          <cell r="M9" t="str">
            <v>IRA</v>
          </cell>
          <cell r="N9" t="str">
            <v>BRA</v>
          </cell>
          <cell r="O9" t="str">
            <v>AME</v>
          </cell>
          <cell r="P9" t="str">
            <v>EUR</v>
          </cell>
          <cell r="Q9">
            <v>130</v>
          </cell>
          <cell r="R9" t="str">
            <v>JAMES</v>
          </cell>
          <cell r="S9" t="str">
            <v>FALCAO</v>
          </cell>
          <cell r="T9">
            <v>9</v>
          </cell>
          <cell r="U9">
            <v>6</v>
          </cell>
          <cell r="V9">
            <v>6</v>
          </cell>
          <cell r="W9">
            <v>0</v>
          </cell>
        </row>
        <row r="10">
          <cell r="A10">
            <v>7</v>
          </cell>
          <cell r="B10" t="str">
            <v>Juan Kiko Harker</v>
          </cell>
          <cell r="C10">
            <v>184</v>
          </cell>
          <cell r="D10" t="str">
            <v>MULLER</v>
          </cell>
          <cell r="E10">
            <v>6</v>
          </cell>
          <cell r="F10" t="str">
            <v>RUS</v>
          </cell>
          <cell r="G10" t="str">
            <v>BRA</v>
          </cell>
          <cell r="H10" t="str">
            <v>URU</v>
          </cell>
          <cell r="I10" t="str">
            <v>ESP</v>
          </cell>
          <cell r="J10" t="str">
            <v>ARA</v>
          </cell>
          <cell r="K10" t="str">
            <v>BRA</v>
          </cell>
          <cell r="L10" t="str">
            <v>ARA</v>
          </cell>
          <cell r="M10" t="str">
            <v>MAR</v>
          </cell>
          <cell r="N10" t="str">
            <v>SUI</v>
          </cell>
          <cell r="O10" t="str">
            <v>AME</v>
          </cell>
          <cell r="P10" t="str">
            <v>EUR</v>
          </cell>
          <cell r="Q10">
            <v>130</v>
          </cell>
          <cell r="R10" t="str">
            <v>FALCAO</v>
          </cell>
          <cell r="S10" t="str">
            <v>JAMES</v>
          </cell>
          <cell r="T10">
            <v>4</v>
          </cell>
          <cell r="U10">
            <v>4</v>
          </cell>
          <cell r="V10">
            <v>14</v>
          </cell>
          <cell r="W10">
            <v>0</v>
          </cell>
        </row>
        <row r="11">
          <cell r="A11">
            <v>8</v>
          </cell>
          <cell r="B11" t="str">
            <v>Dionisio Araujo V</v>
          </cell>
          <cell r="C11">
            <v>156</v>
          </cell>
          <cell r="D11" t="str">
            <v>NEYMAR</v>
          </cell>
          <cell r="E11">
            <v>7</v>
          </cell>
          <cell r="F11" t="str">
            <v>RUS</v>
          </cell>
          <cell r="G11" t="str">
            <v>ALE</v>
          </cell>
          <cell r="H11" t="str">
            <v>FRA</v>
          </cell>
          <cell r="I11" t="str">
            <v>ING</v>
          </cell>
          <cell r="J11" t="str">
            <v>PAN</v>
          </cell>
          <cell r="K11" t="str">
            <v>ALE</v>
          </cell>
          <cell r="L11" t="str">
            <v>PAN</v>
          </cell>
          <cell r="M11" t="str">
            <v>ARA</v>
          </cell>
          <cell r="N11" t="str">
            <v>ING</v>
          </cell>
          <cell r="O11" t="str">
            <v>EUR</v>
          </cell>
          <cell r="P11" t="str">
            <v>AME</v>
          </cell>
          <cell r="Q11">
            <v>160</v>
          </cell>
          <cell r="R11" t="str">
            <v>FALCAO</v>
          </cell>
          <cell r="S11" t="str">
            <v>CUADRADO</v>
          </cell>
          <cell r="T11">
            <v>8</v>
          </cell>
          <cell r="U11">
            <v>5</v>
          </cell>
          <cell r="V11">
            <v>7</v>
          </cell>
          <cell r="W11">
            <v>0</v>
          </cell>
        </row>
        <row r="12">
          <cell r="A12">
            <v>9</v>
          </cell>
          <cell r="B12" t="str">
            <v>Felipe Araujo A</v>
          </cell>
          <cell r="C12">
            <v>145</v>
          </cell>
          <cell r="D12" t="str">
            <v>MULLER</v>
          </cell>
          <cell r="E12">
            <v>6</v>
          </cell>
          <cell r="F12" t="str">
            <v>RUS</v>
          </cell>
          <cell r="G12" t="str">
            <v>ALE</v>
          </cell>
          <cell r="H12" t="str">
            <v>COL</v>
          </cell>
          <cell r="I12" t="str">
            <v>ING</v>
          </cell>
          <cell r="J12" t="str">
            <v>PAN</v>
          </cell>
          <cell r="K12" t="str">
            <v>ALE</v>
          </cell>
          <cell r="L12" t="str">
            <v>FRA</v>
          </cell>
          <cell r="M12" t="str">
            <v>PAN</v>
          </cell>
          <cell r="N12" t="str">
            <v>COL</v>
          </cell>
          <cell r="O12" t="str">
            <v>EUR</v>
          </cell>
          <cell r="P12" t="str">
            <v>EUR</v>
          </cell>
          <cell r="Q12">
            <v>195</v>
          </cell>
          <cell r="R12" t="str">
            <v>FALCAO</v>
          </cell>
          <cell r="S12" t="str">
            <v>JAMES</v>
          </cell>
          <cell r="T12">
            <v>8</v>
          </cell>
          <cell r="U12">
            <v>5</v>
          </cell>
          <cell r="V12">
            <v>7</v>
          </cell>
          <cell r="W12">
            <v>0</v>
          </cell>
        </row>
        <row r="13">
          <cell r="A13">
            <v>10</v>
          </cell>
          <cell r="B13" t="str">
            <v>Andres Borrero</v>
          </cell>
          <cell r="C13">
            <v>159</v>
          </cell>
          <cell r="D13" t="str">
            <v>MESSI</v>
          </cell>
          <cell r="E13">
            <v>7</v>
          </cell>
          <cell r="F13" t="str">
            <v>RUS</v>
          </cell>
          <cell r="G13" t="str">
            <v>ALE</v>
          </cell>
          <cell r="H13" t="str">
            <v>CRO</v>
          </cell>
          <cell r="I13" t="str">
            <v>SEN</v>
          </cell>
          <cell r="J13" t="str">
            <v>ARA</v>
          </cell>
          <cell r="K13" t="str">
            <v>BRA</v>
          </cell>
          <cell r="L13" t="str">
            <v>PAN</v>
          </cell>
          <cell r="M13" t="str">
            <v>PAN</v>
          </cell>
          <cell r="N13" t="str">
            <v>FRA</v>
          </cell>
          <cell r="O13" t="str">
            <v>AME</v>
          </cell>
          <cell r="P13" t="str">
            <v>EUR</v>
          </cell>
          <cell r="Q13">
            <v>160</v>
          </cell>
          <cell r="R13" t="str">
            <v>FALCAO</v>
          </cell>
          <cell r="S13" t="str">
            <v>JAMES</v>
          </cell>
          <cell r="T13">
            <v>8</v>
          </cell>
          <cell r="U13">
            <v>6</v>
          </cell>
          <cell r="V13">
            <v>5</v>
          </cell>
          <cell r="W13">
            <v>0</v>
          </cell>
        </row>
        <row r="14">
          <cell r="A14">
            <v>11</v>
          </cell>
          <cell r="B14" t="str">
            <v>Andres Lemaitre</v>
          </cell>
          <cell r="C14">
            <v>149</v>
          </cell>
          <cell r="D14" t="str">
            <v>MESSI</v>
          </cell>
          <cell r="E14">
            <v>7</v>
          </cell>
          <cell r="F14" t="str">
            <v>URU</v>
          </cell>
          <cell r="G14" t="str">
            <v>BRA</v>
          </cell>
          <cell r="H14" t="str">
            <v>ESP</v>
          </cell>
          <cell r="I14" t="str">
            <v>ALE</v>
          </cell>
          <cell r="J14" t="str">
            <v>IRA</v>
          </cell>
          <cell r="K14" t="str">
            <v>BRA</v>
          </cell>
          <cell r="L14" t="str">
            <v>IRA</v>
          </cell>
          <cell r="M14" t="str">
            <v>PAN</v>
          </cell>
          <cell r="N14" t="str">
            <v>URU</v>
          </cell>
          <cell r="O14" t="str">
            <v>AME</v>
          </cell>
          <cell r="P14" t="str">
            <v>EUR</v>
          </cell>
          <cell r="Q14">
            <v>55</v>
          </cell>
          <cell r="R14" t="str">
            <v>FALCAO</v>
          </cell>
          <cell r="S14" t="str">
            <v>JAMES</v>
          </cell>
          <cell r="T14">
            <v>5</v>
          </cell>
          <cell r="U14">
            <v>4</v>
          </cell>
          <cell r="V14">
            <v>8</v>
          </cell>
          <cell r="W14">
            <v>0</v>
          </cell>
        </row>
        <row r="15">
          <cell r="A15">
            <v>12</v>
          </cell>
          <cell r="B15" t="str">
            <v>Felipe Bonilla</v>
          </cell>
          <cell r="C15">
            <v>167</v>
          </cell>
          <cell r="D15" t="str">
            <v>KANE</v>
          </cell>
          <cell r="E15">
            <v>7</v>
          </cell>
          <cell r="F15" t="str">
            <v>RUS</v>
          </cell>
          <cell r="G15" t="str">
            <v>ESP</v>
          </cell>
          <cell r="H15" t="str">
            <v>FRA</v>
          </cell>
          <cell r="I15" t="str">
            <v>ALE</v>
          </cell>
          <cell r="J15" t="str">
            <v>ARA</v>
          </cell>
          <cell r="K15" t="str">
            <v>ESP</v>
          </cell>
          <cell r="L15" t="str">
            <v>COR</v>
          </cell>
          <cell r="M15" t="str">
            <v>IRA</v>
          </cell>
          <cell r="N15" t="str">
            <v>BEL</v>
          </cell>
          <cell r="O15" t="str">
            <v>EUR</v>
          </cell>
          <cell r="P15" t="str">
            <v>AME</v>
          </cell>
          <cell r="Q15">
            <v>130</v>
          </cell>
          <cell r="R15" t="str">
            <v>CUADRADO</v>
          </cell>
          <cell r="S15" t="str">
            <v>JAMES</v>
          </cell>
          <cell r="T15">
            <v>11</v>
          </cell>
          <cell r="U15">
            <v>5</v>
          </cell>
          <cell r="V15">
            <v>3</v>
          </cell>
          <cell r="W15">
            <v>0</v>
          </cell>
        </row>
        <row r="16">
          <cell r="A16">
            <v>13</v>
          </cell>
          <cell r="B16" t="str">
            <v>Carlos A Pareja</v>
          </cell>
          <cell r="C16">
            <v>156</v>
          </cell>
          <cell r="D16" t="str">
            <v>MESSI</v>
          </cell>
          <cell r="E16">
            <v>8</v>
          </cell>
          <cell r="F16" t="str">
            <v>RUS</v>
          </cell>
          <cell r="G16" t="str">
            <v>ESP</v>
          </cell>
          <cell r="H16" t="str">
            <v>URU</v>
          </cell>
          <cell r="I16" t="str">
            <v>FRA</v>
          </cell>
          <cell r="J16" t="str">
            <v>PAN</v>
          </cell>
          <cell r="K16" t="str">
            <v>ALE</v>
          </cell>
          <cell r="L16" t="str">
            <v>IRA</v>
          </cell>
          <cell r="M16" t="str">
            <v>PAN</v>
          </cell>
          <cell r="N16" t="str">
            <v>ESP</v>
          </cell>
          <cell r="O16" t="str">
            <v>AME</v>
          </cell>
          <cell r="P16" t="str">
            <v>EUR</v>
          </cell>
          <cell r="Q16">
            <v>120</v>
          </cell>
          <cell r="R16" t="str">
            <v>FALCAO</v>
          </cell>
          <cell r="S16" t="str">
            <v>JAMES</v>
          </cell>
          <cell r="T16">
            <v>10</v>
          </cell>
          <cell r="U16">
            <v>5</v>
          </cell>
          <cell r="V16">
            <v>9</v>
          </cell>
          <cell r="W16">
            <v>100</v>
          </cell>
        </row>
        <row r="17">
          <cell r="A17">
            <v>14</v>
          </cell>
          <cell r="B17" t="str">
            <v>Nicolas Mujica R</v>
          </cell>
          <cell r="C17">
            <v>174</v>
          </cell>
          <cell r="D17" t="str">
            <v>NEYMAR</v>
          </cell>
          <cell r="E17">
            <v>8</v>
          </cell>
          <cell r="F17" t="str">
            <v>RUS</v>
          </cell>
          <cell r="G17" t="str">
            <v>BRA</v>
          </cell>
          <cell r="H17" t="str">
            <v>POR</v>
          </cell>
          <cell r="I17" t="str">
            <v>POR</v>
          </cell>
          <cell r="J17" t="str">
            <v>ARA</v>
          </cell>
          <cell r="K17" t="str">
            <v>BRA</v>
          </cell>
          <cell r="L17" t="str">
            <v>SER</v>
          </cell>
          <cell r="M17" t="str">
            <v>ARA</v>
          </cell>
          <cell r="N17" t="str">
            <v>BRA</v>
          </cell>
          <cell r="O17" t="str">
            <v>AME</v>
          </cell>
          <cell r="P17" t="str">
            <v>EUR</v>
          </cell>
          <cell r="Q17">
            <v>80</v>
          </cell>
          <cell r="R17" t="str">
            <v>FALCAO</v>
          </cell>
          <cell r="S17" t="str">
            <v>FALCAO</v>
          </cell>
          <cell r="T17">
            <v>9</v>
          </cell>
          <cell r="U17">
            <v>3</v>
          </cell>
          <cell r="V17">
            <v>7</v>
          </cell>
          <cell r="W17">
            <v>65</v>
          </cell>
        </row>
        <row r="18">
          <cell r="A18">
            <v>15</v>
          </cell>
          <cell r="B18" t="str">
            <v>Felipe Fonseca</v>
          </cell>
          <cell r="C18">
            <v>245</v>
          </cell>
          <cell r="D18" t="str">
            <v>SUAREZ</v>
          </cell>
          <cell r="E18">
            <v>8</v>
          </cell>
          <cell r="F18" t="str">
            <v>RUS</v>
          </cell>
          <cell r="G18" t="str">
            <v>ESP</v>
          </cell>
          <cell r="H18" t="str">
            <v>SEN</v>
          </cell>
          <cell r="I18" t="str">
            <v>URU</v>
          </cell>
          <cell r="J18" t="str">
            <v>ARA</v>
          </cell>
          <cell r="K18" t="str">
            <v>ESP</v>
          </cell>
          <cell r="L18" t="str">
            <v>URU</v>
          </cell>
          <cell r="M18" t="str">
            <v>ARA</v>
          </cell>
          <cell r="N18" t="str">
            <v>CRO</v>
          </cell>
          <cell r="O18" t="str">
            <v>EUR</v>
          </cell>
          <cell r="P18" t="str">
            <v>AME</v>
          </cell>
          <cell r="Q18">
            <v>80</v>
          </cell>
          <cell r="R18" t="str">
            <v>FALCAO</v>
          </cell>
          <cell r="S18" t="str">
            <v>JAMES</v>
          </cell>
          <cell r="T18">
            <v>7</v>
          </cell>
          <cell r="U18">
            <v>7</v>
          </cell>
          <cell r="V18">
            <v>8</v>
          </cell>
          <cell r="W18">
            <v>0</v>
          </cell>
        </row>
        <row r="19">
          <cell r="A19">
            <v>16</v>
          </cell>
          <cell r="B19" t="str">
            <v>Miguel A Ospina</v>
          </cell>
          <cell r="C19">
            <v>163</v>
          </cell>
          <cell r="D19" t="str">
            <v>MULLER</v>
          </cell>
          <cell r="E19">
            <v>6</v>
          </cell>
          <cell r="F19" t="str">
            <v>RUS</v>
          </cell>
          <cell r="G19" t="str">
            <v>ALE</v>
          </cell>
          <cell r="H19" t="str">
            <v>BEL</v>
          </cell>
          <cell r="I19" t="str">
            <v>BRA</v>
          </cell>
          <cell r="J19" t="str">
            <v>PAN</v>
          </cell>
          <cell r="K19" t="str">
            <v>ALE</v>
          </cell>
          <cell r="L19" t="str">
            <v>COR</v>
          </cell>
          <cell r="M19" t="str">
            <v>PAN</v>
          </cell>
          <cell r="N19" t="str">
            <v>ALE</v>
          </cell>
          <cell r="O19" t="str">
            <v>EUR</v>
          </cell>
          <cell r="P19" t="str">
            <v>EUR</v>
          </cell>
          <cell r="Q19">
            <v>195</v>
          </cell>
          <cell r="R19" t="str">
            <v>FALCAO</v>
          </cell>
          <cell r="S19" t="str">
            <v>JAMES</v>
          </cell>
          <cell r="T19">
            <v>5</v>
          </cell>
          <cell r="U19">
            <v>7</v>
          </cell>
          <cell r="V19">
            <v>7</v>
          </cell>
          <cell r="W19">
            <v>0</v>
          </cell>
        </row>
        <row r="20">
          <cell r="A20">
            <v>17</v>
          </cell>
          <cell r="B20" t="str">
            <v>Christian Benitez</v>
          </cell>
          <cell r="C20">
            <v>181</v>
          </cell>
          <cell r="D20" t="str">
            <v>NEYMAR</v>
          </cell>
          <cell r="E20">
            <v>6</v>
          </cell>
          <cell r="F20" t="str">
            <v>RUS</v>
          </cell>
          <cell r="G20" t="str">
            <v>BRA</v>
          </cell>
          <cell r="H20" t="str">
            <v>COL</v>
          </cell>
          <cell r="I20" t="str">
            <v>JAP</v>
          </cell>
          <cell r="J20" t="str">
            <v>SER</v>
          </cell>
          <cell r="K20" t="str">
            <v>BRA</v>
          </cell>
          <cell r="L20" t="str">
            <v>SER</v>
          </cell>
          <cell r="M20" t="str">
            <v>ISL</v>
          </cell>
          <cell r="N20" t="str">
            <v>BRA</v>
          </cell>
          <cell r="O20" t="str">
            <v>AME</v>
          </cell>
          <cell r="P20" t="str">
            <v>EUR</v>
          </cell>
          <cell r="Q20">
            <v>130</v>
          </cell>
          <cell r="R20" t="str">
            <v>FALCAO</v>
          </cell>
          <cell r="S20" t="str">
            <v>JAMES</v>
          </cell>
          <cell r="T20">
            <v>6</v>
          </cell>
          <cell r="U20">
            <v>5</v>
          </cell>
          <cell r="V20">
            <v>8</v>
          </cell>
          <cell r="W20">
            <v>65</v>
          </cell>
        </row>
        <row r="21">
          <cell r="A21">
            <v>18</v>
          </cell>
          <cell r="B21" t="str">
            <v>Andres Harker</v>
          </cell>
          <cell r="C21">
            <v>179</v>
          </cell>
          <cell r="D21" t="str">
            <v>RONALDO</v>
          </cell>
          <cell r="E21">
            <v>7</v>
          </cell>
          <cell r="F21" t="str">
            <v>RUS</v>
          </cell>
          <cell r="G21" t="str">
            <v>ESP</v>
          </cell>
          <cell r="H21" t="str">
            <v>POR</v>
          </cell>
          <cell r="I21" t="str">
            <v>CRO</v>
          </cell>
          <cell r="J21" t="str">
            <v>TUN</v>
          </cell>
          <cell r="K21" t="str">
            <v>BRA</v>
          </cell>
          <cell r="L21" t="str">
            <v>MAR</v>
          </cell>
          <cell r="M21" t="str">
            <v>TUN</v>
          </cell>
          <cell r="N21" t="str">
            <v>BRA</v>
          </cell>
          <cell r="O21" t="str">
            <v>AME</v>
          </cell>
          <cell r="P21" t="str">
            <v>EUR</v>
          </cell>
          <cell r="Q21">
            <v>50</v>
          </cell>
          <cell r="R21" t="str">
            <v>FALCAO</v>
          </cell>
          <cell r="S21" t="str">
            <v>JAMES</v>
          </cell>
          <cell r="T21">
            <v>6</v>
          </cell>
          <cell r="U21">
            <v>3</v>
          </cell>
          <cell r="V21">
            <v>7</v>
          </cell>
          <cell r="W21">
            <v>130</v>
          </cell>
        </row>
        <row r="22">
          <cell r="A22">
            <v>19</v>
          </cell>
          <cell r="B22" t="str">
            <v>John Rojas</v>
          </cell>
          <cell r="C22">
            <v>171</v>
          </cell>
          <cell r="D22" t="str">
            <v>FALCAO</v>
          </cell>
          <cell r="E22">
            <v>7</v>
          </cell>
          <cell r="F22" t="str">
            <v>RUS</v>
          </cell>
          <cell r="G22" t="str">
            <v>COL</v>
          </cell>
          <cell r="H22" t="str">
            <v>ING</v>
          </cell>
          <cell r="I22" t="str">
            <v>ING</v>
          </cell>
          <cell r="J22" t="str">
            <v>TUN</v>
          </cell>
          <cell r="K22" t="str">
            <v>BRA</v>
          </cell>
          <cell r="L22" t="str">
            <v>TUN</v>
          </cell>
          <cell r="M22" t="str">
            <v>TUN</v>
          </cell>
          <cell r="N22" t="str">
            <v>ALE</v>
          </cell>
          <cell r="O22" t="str">
            <v>AME</v>
          </cell>
          <cell r="P22" t="str">
            <v>AME</v>
          </cell>
          <cell r="Q22">
            <v>25</v>
          </cell>
          <cell r="R22" t="str">
            <v>BORJA</v>
          </cell>
          <cell r="S22" t="str">
            <v>FALCAO</v>
          </cell>
          <cell r="T22">
            <v>14</v>
          </cell>
          <cell r="U22">
            <v>5</v>
          </cell>
          <cell r="V22">
            <v>1</v>
          </cell>
          <cell r="W22">
            <v>0</v>
          </cell>
        </row>
        <row r="23">
          <cell r="A23">
            <v>20</v>
          </cell>
          <cell r="B23" t="str">
            <v>Alfredo Gómez</v>
          </cell>
          <cell r="C23">
            <v>193</v>
          </cell>
          <cell r="D23" t="str">
            <v>LEVANDOWSKY</v>
          </cell>
          <cell r="E23">
            <v>5</v>
          </cell>
          <cell r="F23" t="str">
            <v>RUS</v>
          </cell>
          <cell r="G23" t="str">
            <v>BRA</v>
          </cell>
          <cell r="H23" t="str">
            <v>ING</v>
          </cell>
          <cell r="I23" t="str">
            <v>BRA</v>
          </cell>
          <cell r="J23" t="str">
            <v>MAR</v>
          </cell>
          <cell r="K23" t="str">
            <v>BRA</v>
          </cell>
          <cell r="L23" t="str">
            <v>MAR</v>
          </cell>
          <cell r="M23" t="str">
            <v>BRA</v>
          </cell>
          <cell r="N23" t="str">
            <v>COL</v>
          </cell>
          <cell r="O23" t="str">
            <v>AME</v>
          </cell>
          <cell r="P23" t="str">
            <v>AME</v>
          </cell>
          <cell r="Q23">
            <v>25</v>
          </cell>
          <cell r="R23" t="str">
            <v>JAMES</v>
          </cell>
          <cell r="S23" t="str">
            <v>FALCAO</v>
          </cell>
          <cell r="T23">
            <v>7</v>
          </cell>
          <cell r="U23">
            <v>2</v>
          </cell>
          <cell r="V23">
            <v>6</v>
          </cell>
          <cell r="W23">
            <v>0</v>
          </cell>
        </row>
        <row r="24">
          <cell r="A24">
            <v>21</v>
          </cell>
          <cell r="B24" t="str">
            <v>Daniel Escobar</v>
          </cell>
          <cell r="C24">
            <v>135</v>
          </cell>
          <cell r="D24" t="str">
            <v>MESSI</v>
          </cell>
          <cell r="E24">
            <v>7</v>
          </cell>
          <cell r="F24" t="str">
            <v>RUS</v>
          </cell>
          <cell r="G24" t="str">
            <v>BRA</v>
          </cell>
          <cell r="H24" t="str">
            <v>URU</v>
          </cell>
          <cell r="I24" t="str">
            <v>ARG</v>
          </cell>
          <cell r="J24" t="str">
            <v>COS</v>
          </cell>
          <cell r="K24" t="str">
            <v>BRA</v>
          </cell>
          <cell r="L24" t="str">
            <v>TUN</v>
          </cell>
          <cell r="M24" t="str">
            <v>COR</v>
          </cell>
          <cell r="N24" t="str">
            <v>BRA</v>
          </cell>
          <cell r="O24" t="str">
            <v>AME</v>
          </cell>
          <cell r="P24" t="str">
            <v>EUR</v>
          </cell>
          <cell r="Q24">
            <v>90</v>
          </cell>
          <cell r="R24" t="str">
            <v>ARIAS</v>
          </cell>
          <cell r="S24" t="str">
            <v>JAMES</v>
          </cell>
          <cell r="T24">
            <v>9</v>
          </cell>
          <cell r="U24">
            <v>4</v>
          </cell>
          <cell r="V24">
            <v>7</v>
          </cell>
          <cell r="W24">
            <v>0</v>
          </cell>
        </row>
        <row r="25">
          <cell r="A25">
            <v>22</v>
          </cell>
          <cell r="B25" t="str">
            <v>Juan S Araújo</v>
          </cell>
          <cell r="C25">
            <v>154</v>
          </cell>
          <cell r="D25" t="str">
            <v>MESSI</v>
          </cell>
          <cell r="E25">
            <v>6</v>
          </cell>
          <cell r="F25" t="str">
            <v>RUS</v>
          </cell>
          <cell r="G25" t="str">
            <v>BRA</v>
          </cell>
          <cell r="H25" t="str">
            <v>CRO</v>
          </cell>
          <cell r="I25" t="str">
            <v>COS</v>
          </cell>
          <cell r="J25" t="str">
            <v>IRA</v>
          </cell>
          <cell r="K25" t="str">
            <v>ALE</v>
          </cell>
          <cell r="L25" t="str">
            <v>MAR</v>
          </cell>
          <cell r="M25" t="str">
            <v>IRA</v>
          </cell>
          <cell r="N25" t="str">
            <v>COL</v>
          </cell>
          <cell r="O25" t="str">
            <v>EUR</v>
          </cell>
          <cell r="P25" t="str">
            <v>AME</v>
          </cell>
          <cell r="Q25">
            <v>170</v>
          </cell>
          <cell r="R25" t="str">
            <v>JAMES</v>
          </cell>
          <cell r="S25" t="str">
            <v>JAMES</v>
          </cell>
          <cell r="T25">
            <v>5</v>
          </cell>
          <cell r="U25">
            <v>2</v>
          </cell>
          <cell r="V25">
            <v>14</v>
          </cell>
          <cell r="W25">
            <v>0</v>
          </cell>
        </row>
        <row r="26">
          <cell r="A26">
            <v>23</v>
          </cell>
          <cell r="B26" t="str">
            <v>Natalia Uribe</v>
          </cell>
          <cell r="C26">
            <v>176</v>
          </cell>
          <cell r="D26" t="str">
            <v>RONALDO</v>
          </cell>
          <cell r="E26">
            <v>8</v>
          </cell>
          <cell r="F26" t="str">
            <v>RUS</v>
          </cell>
          <cell r="G26" t="str">
            <v>ESP</v>
          </cell>
          <cell r="H26" t="str">
            <v>POR</v>
          </cell>
          <cell r="I26" t="str">
            <v>FRA</v>
          </cell>
          <cell r="J26" t="str">
            <v>PER</v>
          </cell>
          <cell r="K26" t="str">
            <v>COR</v>
          </cell>
          <cell r="L26" t="str">
            <v>PAN</v>
          </cell>
          <cell r="M26" t="str">
            <v>ALE</v>
          </cell>
          <cell r="N26" t="str">
            <v>ING</v>
          </cell>
          <cell r="O26" t="str">
            <v>EUR</v>
          </cell>
          <cell r="P26" t="str">
            <v>AME</v>
          </cell>
          <cell r="Q26">
            <v>120</v>
          </cell>
          <cell r="R26" t="str">
            <v>JAMES</v>
          </cell>
          <cell r="S26" t="str">
            <v>FALCAO</v>
          </cell>
          <cell r="T26">
            <v>8</v>
          </cell>
          <cell r="U26">
            <v>6</v>
          </cell>
          <cell r="V26">
            <v>9</v>
          </cell>
          <cell r="W26">
            <v>100</v>
          </cell>
        </row>
        <row r="27">
          <cell r="A27">
            <v>24</v>
          </cell>
          <cell r="B27" t="str">
            <v>Camilo Russi</v>
          </cell>
          <cell r="C27">
            <v>155</v>
          </cell>
          <cell r="D27" t="str">
            <v>MESSI</v>
          </cell>
          <cell r="E27">
            <v>6</v>
          </cell>
          <cell r="F27" t="str">
            <v>RUS</v>
          </cell>
          <cell r="G27" t="str">
            <v>ALE</v>
          </cell>
          <cell r="H27" t="str">
            <v>BEL</v>
          </cell>
          <cell r="I27" t="str">
            <v>ALE</v>
          </cell>
          <cell r="J27" t="str">
            <v>IRA</v>
          </cell>
          <cell r="K27" t="str">
            <v>BRA</v>
          </cell>
          <cell r="L27" t="str">
            <v>IRA</v>
          </cell>
          <cell r="M27" t="str">
            <v>IRA</v>
          </cell>
          <cell r="N27" t="str">
            <v>ALE</v>
          </cell>
          <cell r="O27" t="str">
            <v>AME</v>
          </cell>
          <cell r="P27" t="str">
            <v>EUR</v>
          </cell>
          <cell r="Q27">
            <v>130</v>
          </cell>
          <cell r="R27" t="str">
            <v>FALCAO</v>
          </cell>
          <cell r="S27" t="str">
            <v>JAMES</v>
          </cell>
          <cell r="T27">
            <v>9</v>
          </cell>
          <cell r="U27">
            <v>4</v>
          </cell>
          <cell r="V27">
            <v>7</v>
          </cell>
          <cell r="W27">
            <v>0</v>
          </cell>
        </row>
        <row r="28">
          <cell r="A28">
            <v>25</v>
          </cell>
          <cell r="B28" t="str">
            <v>Enrique Uribe</v>
          </cell>
          <cell r="C28">
            <v>182</v>
          </cell>
          <cell r="D28" t="str">
            <v>LEVANDOWSKY</v>
          </cell>
          <cell r="E28">
            <v>8</v>
          </cell>
          <cell r="F28" t="str">
            <v>RUS</v>
          </cell>
          <cell r="G28" t="str">
            <v>ALE</v>
          </cell>
          <cell r="H28" t="str">
            <v>JAP</v>
          </cell>
          <cell r="I28" t="str">
            <v>URU</v>
          </cell>
          <cell r="J28" t="str">
            <v>NIG</v>
          </cell>
          <cell r="K28" t="str">
            <v>BRA</v>
          </cell>
          <cell r="L28" t="str">
            <v>SEN</v>
          </cell>
          <cell r="M28" t="str">
            <v>ARA</v>
          </cell>
          <cell r="N28" t="str">
            <v>ESP</v>
          </cell>
          <cell r="O28" t="str">
            <v>EUR</v>
          </cell>
          <cell r="P28" t="str">
            <v>AME</v>
          </cell>
          <cell r="Q28">
            <v>80</v>
          </cell>
          <cell r="R28" t="str">
            <v>FALCAO</v>
          </cell>
          <cell r="S28" t="str">
            <v>CUADRADO</v>
          </cell>
          <cell r="T28">
            <v>9</v>
          </cell>
          <cell r="U28">
            <v>5</v>
          </cell>
          <cell r="V28">
            <v>9</v>
          </cell>
          <cell r="W28">
            <v>100</v>
          </cell>
        </row>
        <row r="29">
          <cell r="A29">
            <v>26</v>
          </cell>
          <cell r="B29" t="str">
            <v>Andres Aguirre</v>
          </cell>
          <cell r="C29">
            <v>180</v>
          </cell>
          <cell r="D29" t="str">
            <v>MESSI</v>
          </cell>
          <cell r="E29">
            <v>6</v>
          </cell>
          <cell r="F29" t="str">
            <v>URU</v>
          </cell>
          <cell r="G29" t="str">
            <v>BRA</v>
          </cell>
          <cell r="H29" t="str">
            <v>ESP</v>
          </cell>
          <cell r="I29" t="str">
            <v>ARG</v>
          </cell>
          <cell r="J29" t="str">
            <v>IRA</v>
          </cell>
          <cell r="K29" t="str">
            <v>ESP</v>
          </cell>
          <cell r="L29" t="str">
            <v>PAN</v>
          </cell>
          <cell r="M29" t="str">
            <v>PAN</v>
          </cell>
          <cell r="N29" t="str">
            <v>ALE</v>
          </cell>
          <cell r="O29" t="str">
            <v>AME</v>
          </cell>
          <cell r="P29" t="str">
            <v>EUR</v>
          </cell>
          <cell r="Q29">
            <v>185</v>
          </cell>
          <cell r="R29" t="str">
            <v>FALCAO</v>
          </cell>
          <cell r="S29" t="str">
            <v>JAMES</v>
          </cell>
          <cell r="T29">
            <v>7</v>
          </cell>
          <cell r="U29">
            <v>5</v>
          </cell>
          <cell r="V29">
            <v>7</v>
          </cell>
          <cell r="W29">
            <v>0</v>
          </cell>
        </row>
        <row r="30">
          <cell r="A30">
            <v>27</v>
          </cell>
          <cell r="B30" t="str">
            <v>Juan C Lemaitre</v>
          </cell>
          <cell r="C30">
            <v>166</v>
          </cell>
          <cell r="D30" t="str">
            <v>NEYMAR</v>
          </cell>
          <cell r="E30">
            <v>7</v>
          </cell>
          <cell r="F30" t="str">
            <v>RUS</v>
          </cell>
          <cell r="G30" t="str">
            <v>BRA</v>
          </cell>
          <cell r="H30" t="str">
            <v>URU</v>
          </cell>
          <cell r="I30" t="str">
            <v>ARG</v>
          </cell>
          <cell r="J30" t="str">
            <v>PAN</v>
          </cell>
          <cell r="K30" t="str">
            <v>BRA</v>
          </cell>
          <cell r="L30" t="str">
            <v>PAN</v>
          </cell>
          <cell r="M30" t="str">
            <v>SER</v>
          </cell>
          <cell r="N30" t="str">
            <v>ING</v>
          </cell>
          <cell r="O30" t="str">
            <v>AME</v>
          </cell>
          <cell r="P30" t="str">
            <v>EUR</v>
          </cell>
          <cell r="Q30">
            <v>200</v>
          </cell>
          <cell r="R30" t="str">
            <v>FALCAO</v>
          </cell>
          <cell r="S30" t="str">
            <v>FALCAO</v>
          </cell>
          <cell r="T30">
            <v>8</v>
          </cell>
          <cell r="U30">
            <v>3</v>
          </cell>
          <cell r="V30">
            <v>10</v>
          </cell>
          <cell r="W30">
            <v>65</v>
          </cell>
        </row>
        <row r="31">
          <cell r="A31">
            <v>28</v>
          </cell>
          <cell r="B31" t="str">
            <v>Fernando Fonseca</v>
          </cell>
          <cell r="C31">
            <v>182</v>
          </cell>
          <cell r="D31" t="str">
            <v>NEYMAR</v>
          </cell>
          <cell r="E31">
            <v>13</v>
          </cell>
          <cell r="F31" t="str">
            <v>RUS</v>
          </cell>
          <cell r="G31" t="str">
            <v>ALE</v>
          </cell>
          <cell r="H31" t="str">
            <v>ING</v>
          </cell>
          <cell r="I31" t="str">
            <v>COL</v>
          </cell>
          <cell r="J31" t="str">
            <v>PAN</v>
          </cell>
          <cell r="K31" t="str">
            <v>ALE</v>
          </cell>
          <cell r="L31" t="str">
            <v>PAN</v>
          </cell>
          <cell r="M31" t="str">
            <v>PAN</v>
          </cell>
          <cell r="N31" t="str">
            <v>ALE</v>
          </cell>
          <cell r="O31" t="str">
            <v>AME</v>
          </cell>
          <cell r="P31" t="str">
            <v>EUR</v>
          </cell>
          <cell r="Q31">
            <v>160</v>
          </cell>
          <cell r="R31" t="str">
            <v>FALCAO</v>
          </cell>
          <cell r="S31" t="str">
            <v>JAMES</v>
          </cell>
          <cell r="T31">
            <v>10</v>
          </cell>
          <cell r="U31">
            <v>6</v>
          </cell>
          <cell r="V31">
            <v>6</v>
          </cell>
          <cell r="W31">
            <v>0</v>
          </cell>
        </row>
        <row r="32">
          <cell r="A32">
            <v>29</v>
          </cell>
          <cell r="B32" t="str">
            <v>Rodofo Rojas</v>
          </cell>
          <cell r="C32">
            <v>147</v>
          </cell>
          <cell r="D32" t="str">
            <v>MESSI</v>
          </cell>
          <cell r="E32">
            <v>6</v>
          </cell>
          <cell r="F32" t="str">
            <v>RUS</v>
          </cell>
          <cell r="G32" t="str">
            <v>BRA</v>
          </cell>
          <cell r="H32" t="str">
            <v>FRA</v>
          </cell>
          <cell r="I32" t="str">
            <v>COL</v>
          </cell>
          <cell r="J32" t="str">
            <v>ARA</v>
          </cell>
          <cell r="K32" t="str">
            <v>ESP</v>
          </cell>
          <cell r="L32" t="str">
            <v>FRA</v>
          </cell>
          <cell r="M32" t="str">
            <v>ARA</v>
          </cell>
          <cell r="N32" t="str">
            <v>BRA</v>
          </cell>
          <cell r="O32" t="str">
            <v>AME</v>
          </cell>
          <cell r="P32" t="str">
            <v>EUR</v>
          </cell>
          <cell r="Q32">
            <v>130</v>
          </cell>
          <cell r="R32" t="str">
            <v>FALCAO</v>
          </cell>
          <cell r="S32" t="str">
            <v>JAMES</v>
          </cell>
          <cell r="T32">
            <v>8</v>
          </cell>
          <cell r="U32">
            <v>6</v>
          </cell>
          <cell r="V32">
            <v>8</v>
          </cell>
          <cell r="W32">
            <v>0</v>
          </cell>
        </row>
        <row r="33">
          <cell r="A33">
            <v>30</v>
          </cell>
          <cell r="B33" t="str">
            <v>Cesar A Gómez</v>
          </cell>
          <cell r="C33">
            <v>177</v>
          </cell>
          <cell r="D33" t="str">
            <v>NEYMAR</v>
          </cell>
          <cell r="E33">
            <v>6</v>
          </cell>
          <cell r="F33" t="str">
            <v>RUS</v>
          </cell>
          <cell r="G33" t="str">
            <v>ALE</v>
          </cell>
          <cell r="H33" t="str">
            <v>RUS</v>
          </cell>
          <cell r="I33" t="str">
            <v>ARG</v>
          </cell>
          <cell r="J33" t="str">
            <v>ARA</v>
          </cell>
          <cell r="K33" t="str">
            <v>BRA</v>
          </cell>
          <cell r="L33" t="str">
            <v>ARA</v>
          </cell>
          <cell r="M33" t="str">
            <v>IRA</v>
          </cell>
          <cell r="N33" t="str">
            <v>BRA</v>
          </cell>
          <cell r="O33" t="str">
            <v>EUR</v>
          </cell>
          <cell r="P33" t="str">
            <v>AME</v>
          </cell>
          <cell r="Q33">
            <v>170</v>
          </cell>
          <cell r="R33" t="str">
            <v>JAMES</v>
          </cell>
          <cell r="S33" t="str">
            <v>FALCAO</v>
          </cell>
          <cell r="T33">
            <v>6</v>
          </cell>
          <cell r="U33">
            <v>2</v>
          </cell>
          <cell r="V33">
            <v>6</v>
          </cell>
          <cell r="W33">
            <v>65</v>
          </cell>
        </row>
        <row r="34">
          <cell r="A34">
            <v>31</v>
          </cell>
          <cell r="B34" t="str">
            <v>Paula - Gonzalo</v>
          </cell>
          <cell r="C34">
            <v>190</v>
          </cell>
          <cell r="D34" t="str">
            <v>NEYMAR</v>
          </cell>
          <cell r="E34">
            <v>7</v>
          </cell>
          <cell r="F34" t="str">
            <v>RUS</v>
          </cell>
          <cell r="G34" t="str">
            <v>ESP</v>
          </cell>
          <cell r="H34" t="str">
            <v>URU</v>
          </cell>
          <cell r="I34" t="str">
            <v>POR</v>
          </cell>
          <cell r="J34" t="str">
            <v>IRA</v>
          </cell>
          <cell r="K34" t="str">
            <v>BRA</v>
          </cell>
          <cell r="L34" t="str">
            <v>IRA</v>
          </cell>
          <cell r="M34" t="str">
            <v>ARA</v>
          </cell>
          <cell r="N34" t="str">
            <v>BEL</v>
          </cell>
          <cell r="O34" t="str">
            <v>EUR</v>
          </cell>
          <cell r="P34" t="str">
            <v>AME</v>
          </cell>
          <cell r="Q34">
            <v>80</v>
          </cell>
          <cell r="R34" t="str">
            <v>FALCAO</v>
          </cell>
          <cell r="S34" t="str">
            <v>JAMES</v>
          </cell>
          <cell r="T34">
            <v>10</v>
          </cell>
          <cell r="U34">
            <v>5</v>
          </cell>
          <cell r="V34">
            <v>7</v>
          </cell>
          <cell r="W34">
            <v>0</v>
          </cell>
        </row>
        <row r="35">
          <cell r="A35">
            <v>32</v>
          </cell>
          <cell r="B35" t="str">
            <v xml:space="preserve">Roberto Fonnegra </v>
          </cell>
          <cell r="C35">
            <v>162</v>
          </cell>
          <cell r="D35" t="str">
            <v>MESSI</v>
          </cell>
          <cell r="E35">
            <v>7</v>
          </cell>
          <cell r="F35" t="str">
            <v>RUS</v>
          </cell>
          <cell r="G35" t="str">
            <v>BRA</v>
          </cell>
          <cell r="H35" t="str">
            <v>ARG</v>
          </cell>
          <cell r="I35" t="str">
            <v>COL</v>
          </cell>
          <cell r="J35" t="str">
            <v>ARA</v>
          </cell>
          <cell r="K35" t="str">
            <v>BRA</v>
          </cell>
          <cell r="L35" t="str">
            <v>COR</v>
          </cell>
          <cell r="M35" t="str">
            <v>ARA</v>
          </cell>
          <cell r="N35" t="str">
            <v>BRA</v>
          </cell>
          <cell r="O35" t="str">
            <v>AME</v>
          </cell>
          <cell r="P35" t="str">
            <v>EUR</v>
          </cell>
          <cell r="Q35">
            <v>80</v>
          </cell>
          <cell r="R35" t="str">
            <v>FALCAO</v>
          </cell>
          <cell r="S35" t="str">
            <v>SANCHEZ</v>
          </cell>
          <cell r="T35">
            <v>8</v>
          </cell>
          <cell r="U35">
            <v>5</v>
          </cell>
          <cell r="V35">
            <v>6</v>
          </cell>
          <cell r="W35">
            <v>0</v>
          </cell>
        </row>
        <row r="36">
          <cell r="A36">
            <v>33</v>
          </cell>
          <cell r="B36" t="str">
            <v>Santiago Arbouin</v>
          </cell>
          <cell r="C36">
            <v>180</v>
          </cell>
          <cell r="D36" t="str">
            <v>NEYMAR</v>
          </cell>
          <cell r="E36">
            <v>7</v>
          </cell>
          <cell r="F36" t="str">
            <v>RUS</v>
          </cell>
          <cell r="G36" t="str">
            <v>BRA</v>
          </cell>
          <cell r="H36" t="str">
            <v>URU</v>
          </cell>
          <cell r="I36" t="str">
            <v>ESP</v>
          </cell>
          <cell r="J36" t="str">
            <v>PAN</v>
          </cell>
          <cell r="K36" t="str">
            <v>BRA</v>
          </cell>
          <cell r="L36" t="str">
            <v>PAN</v>
          </cell>
          <cell r="M36" t="str">
            <v>ARA</v>
          </cell>
          <cell r="N36" t="str">
            <v>ALE</v>
          </cell>
          <cell r="O36" t="str">
            <v>AME</v>
          </cell>
          <cell r="P36" t="str">
            <v>EUR</v>
          </cell>
          <cell r="Q36">
            <v>160</v>
          </cell>
          <cell r="R36" t="str">
            <v>FALCAO</v>
          </cell>
          <cell r="S36" t="str">
            <v>JAMES</v>
          </cell>
          <cell r="T36">
            <v>15</v>
          </cell>
          <cell r="U36">
            <v>8</v>
          </cell>
          <cell r="V36">
            <v>3</v>
          </cell>
          <cell r="W36">
            <v>0</v>
          </cell>
        </row>
        <row r="37">
          <cell r="A37">
            <v>34</v>
          </cell>
          <cell r="B37" t="str">
            <v>Sebastián Aguirre</v>
          </cell>
          <cell r="C37">
            <v>165</v>
          </cell>
          <cell r="D37" t="str">
            <v>GABRIEL DE JESUS</v>
          </cell>
          <cell r="E37">
            <v>7</v>
          </cell>
          <cell r="F37" t="str">
            <v>RUS</v>
          </cell>
          <cell r="G37" t="str">
            <v>BRA</v>
          </cell>
          <cell r="H37" t="str">
            <v>BEL</v>
          </cell>
          <cell r="I37" t="str">
            <v>ESP</v>
          </cell>
          <cell r="J37" t="str">
            <v>PAN</v>
          </cell>
          <cell r="K37" t="str">
            <v>BRA</v>
          </cell>
          <cell r="L37" t="str">
            <v>PAN</v>
          </cell>
          <cell r="M37" t="str">
            <v>MAR</v>
          </cell>
          <cell r="N37" t="str">
            <v>ALE</v>
          </cell>
          <cell r="O37" t="str">
            <v>AME</v>
          </cell>
          <cell r="P37" t="str">
            <v>EUR</v>
          </cell>
          <cell r="Q37">
            <v>160</v>
          </cell>
          <cell r="R37" t="str">
            <v>JAMES</v>
          </cell>
          <cell r="S37" t="str">
            <v>FALCAO</v>
          </cell>
          <cell r="T37">
            <v>11</v>
          </cell>
          <cell r="U37">
            <v>6</v>
          </cell>
          <cell r="V37">
            <v>3</v>
          </cell>
          <cell r="W37">
            <v>0</v>
          </cell>
        </row>
        <row r="38">
          <cell r="A38">
            <v>35</v>
          </cell>
          <cell r="B38" t="str">
            <v>Martín Fonseca</v>
          </cell>
          <cell r="C38">
            <v>179</v>
          </cell>
          <cell r="D38" t="str">
            <v>NEYMAR</v>
          </cell>
          <cell r="E38">
            <v>6</v>
          </cell>
          <cell r="F38" t="str">
            <v>RUS</v>
          </cell>
          <cell r="G38" t="str">
            <v>ALE</v>
          </cell>
          <cell r="H38" t="str">
            <v>COL</v>
          </cell>
          <cell r="I38" t="str">
            <v>URU</v>
          </cell>
          <cell r="J38" t="str">
            <v>ARA</v>
          </cell>
          <cell r="K38" t="str">
            <v>ALE</v>
          </cell>
          <cell r="L38" t="str">
            <v>COR</v>
          </cell>
          <cell r="M38" t="str">
            <v>ARA</v>
          </cell>
          <cell r="N38" t="str">
            <v>CRO</v>
          </cell>
          <cell r="O38" t="str">
            <v>EUR</v>
          </cell>
          <cell r="P38" t="str">
            <v>EUR</v>
          </cell>
          <cell r="Q38">
            <v>155</v>
          </cell>
          <cell r="R38" t="str">
            <v>FALCAO</v>
          </cell>
          <cell r="S38" t="str">
            <v>JAMES</v>
          </cell>
          <cell r="T38">
            <v>8</v>
          </cell>
          <cell r="U38">
            <v>4</v>
          </cell>
          <cell r="V38">
            <v>7</v>
          </cell>
          <cell r="W38">
            <v>0</v>
          </cell>
        </row>
        <row r="39">
          <cell r="A39">
            <v>36</v>
          </cell>
          <cell r="B39" t="str">
            <v>Paulo &amp; Cia</v>
          </cell>
          <cell r="C39">
            <v>163</v>
          </cell>
          <cell r="D39" t="str">
            <v>NEYMAR</v>
          </cell>
          <cell r="E39">
            <v>7</v>
          </cell>
          <cell r="F39" t="str">
            <v>RUS</v>
          </cell>
          <cell r="G39" t="str">
            <v>BRA</v>
          </cell>
          <cell r="H39" t="str">
            <v>FRA</v>
          </cell>
          <cell r="I39" t="str">
            <v>BRA</v>
          </cell>
          <cell r="J39" t="str">
            <v>ARA</v>
          </cell>
          <cell r="K39" t="str">
            <v>BRA</v>
          </cell>
          <cell r="L39" t="str">
            <v>COR</v>
          </cell>
          <cell r="M39" t="str">
            <v>ARA</v>
          </cell>
          <cell r="N39" t="str">
            <v>BEL</v>
          </cell>
          <cell r="O39" t="str">
            <v>AME</v>
          </cell>
          <cell r="P39" t="str">
            <v>EUR</v>
          </cell>
          <cell r="Q39">
            <v>80</v>
          </cell>
          <cell r="R39" t="str">
            <v>FALCAO</v>
          </cell>
          <cell r="S39" t="str">
            <v>JAMES</v>
          </cell>
          <cell r="T39">
            <v>8</v>
          </cell>
          <cell r="U39">
            <v>3</v>
          </cell>
          <cell r="V39">
            <v>6</v>
          </cell>
          <cell r="W39">
            <v>65</v>
          </cell>
        </row>
        <row r="40">
          <cell r="A40">
            <v>37</v>
          </cell>
          <cell r="B40" t="str">
            <v>Alejandro Fonseca</v>
          </cell>
          <cell r="C40">
            <v>178</v>
          </cell>
          <cell r="D40" t="str">
            <v>MULLER</v>
          </cell>
          <cell r="E40">
            <v>7</v>
          </cell>
          <cell r="F40" t="str">
            <v>RUS</v>
          </cell>
          <cell r="G40" t="str">
            <v>FRA</v>
          </cell>
          <cell r="H40" t="str">
            <v>URU</v>
          </cell>
          <cell r="I40" t="str">
            <v>PER</v>
          </cell>
          <cell r="J40" t="str">
            <v>ARA</v>
          </cell>
          <cell r="K40" t="str">
            <v>ALE</v>
          </cell>
          <cell r="L40" t="str">
            <v>ARA</v>
          </cell>
          <cell r="M40" t="str">
            <v>COR</v>
          </cell>
          <cell r="N40" t="str">
            <v>ALE</v>
          </cell>
          <cell r="O40" t="str">
            <v>EUR</v>
          </cell>
          <cell r="P40" t="str">
            <v>EUR</v>
          </cell>
          <cell r="Q40">
            <v>75</v>
          </cell>
          <cell r="R40" t="str">
            <v>FALCAO</v>
          </cell>
          <cell r="S40" t="str">
            <v>JAMES</v>
          </cell>
          <cell r="T40">
            <v>9</v>
          </cell>
          <cell r="U40">
            <v>7</v>
          </cell>
          <cell r="V40">
            <v>6</v>
          </cell>
          <cell r="W40">
            <v>0</v>
          </cell>
        </row>
        <row r="41">
          <cell r="A41">
            <v>38</v>
          </cell>
          <cell r="B41" t="str">
            <v>Juan Carlos Pelaez</v>
          </cell>
          <cell r="C41">
            <v>149</v>
          </cell>
          <cell r="D41" t="str">
            <v>ASCENSIO</v>
          </cell>
          <cell r="E41">
            <v>6</v>
          </cell>
          <cell r="F41" t="str">
            <v>RUS</v>
          </cell>
          <cell r="G41" t="str">
            <v>ESP</v>
          </cell>
          <cell r="H41" t="str">
            <v>ISL</v>
          </cell>
          <cell r="I41" t="str">
            <v>POL</v>
          </cell>
          <cell r="J41" t="str">
            <v>PAN</v>
          </cell>
          <cell r="K41" t="str">
            <v>ALE</v>
          </cell>
          <cell r="L41" t="str">
            <v>TUN</v>
          </cell>
          <cell r="M41" t="str">
            <v>PAN</v>
          </cell>
          <cell r="N41" t="str">
            <v>ALE</v>
          </cell>
          <cell r="O41" t="str">
            <v>EUR</v>
          </cell>
          <cell r="P41" t="str">
            <v>AME</v>
          </cell>
          <cell r="Q41">
            <v>170</v>
          </cell>
          <cell r="R41" t="str">
            <v>JAMES</v>
          </cell>
          <cell r="S41" t="str">
            <v>JAMES</v>
          </cell>
          <cell r="T41">
            <v>10</v>
          </cell>
          <cell r="U41">
            <v>5</v>
          </cell>
          <cell r="V41">
            <v>12</v>
          </cell>
          <cell r="W41">
            <v>0</v>
          </cell>
        </row>
        <row r="42">
          <cell r="A42">
            <v>39</v>
          </cell>
          <cell r="B42" t="str">
            <v>Oscar Cuervo</v>
          </cell>
          <cell r="C42">
            <v>151</v>
          </cell>
          <cell r="D42" t="str">
            <v>WERMER</v>
          </cell>
          <cell r="E42">
            <v>6</v>
          </cell>
          <cell r="F42" t="str">
            <v>RUS</v>
          </cell>
          <cell r="G42" t="str">
            <v>ALE</v>
          </cell>
          <cell r="H42" t="str">
            <v>ESP</v>
          </cell>
          <cell r="I42" t="str">
            <v>ARG</v>
          </cell>
          <cell r="J42" t="str">
            <v>COR</v>
          </cell>
          <cell r="K42" t="str">
            <v>ALE</v>
          </cell>
          <cell r="L42" t="str">
            <v>ARA</v>
          </cell>
          <cell r="M42" t="str">
            <v>ARA</v>
          </cell>
          <cell r="N42" t="str">
            <v>ALE</v>
          </cell>
          <cell r="O42" t="str">
            <v>EUR</v>
          </cell>
          <cell r="P42" t="str">
            <v>EUR</v>
          </cell>
          <cell r="Q42">
            <v>195</v>
          </cell>
          <cell r="R42" t="str">
            <v>FALCAO</v>
          </cell>
          <cell r="S42" t="str">
            <v>JAMES</v>
          </cell>
          <cell r="T42">
            <v>7</v>
          </cell>
          <cell r="U42">
            <v>5</v>
          </cell>
          <cell r="V42">
            <v>7</v>
          </cell>
          <cell r="W42">
            <v>0</v>
          </cell>
        </row>
        <row r="43">
          <cell r="A43">
            <v>40</v>
          </cell>
          <cell r="B43" t="str">
            <v>Asmed Garcia</v>
          </cell>
          <cell r="C43">
            <v>182</v>
          </cell>
          <cell r="D43" t="str">
            <v>ISCO</v>
          </cell>
          <cell r="E43">
            <v>7</v>
          </cell>
          <cell r="F43" t="str">
            <v>RUS</v>
          </cell>
          <cell r="G43" t="str">
            <v>ESP</v>
          </cell>
          <cell r="H43" t="str">
            <v>POR</v>
          </cell>
          <cell r="I43" t="str">
            <v>POR</v>
          </cell>
          <cell r="J43" t="str">
            <v>ARA</v>
          </cell>
          <cell r="K43" t="str">
            <v>ESP</v>
          </cell>
          <cell r="L43" t="str">
            <v>ARA</v>
          </cell>
          <cell r="M43" t="str">
            <v>ARA</v>
          </cell>
          <cell r="N43" t="str">
            <v>BRA</v>
          </cell>
          <cell r="O43" t="str">
            <v>EUR</v>
          </cell>
          <cell r="P43" t="str">
            <v>AME</v>
          </cell>
          <cell r="Q43">
            <v>80</v>
          </cell>
          <cell r="R43" t="str">
            <v>FALCAO</v>
          </cell>
          <cell r="S43" t="str">
            <v>JAMES</v>
          </cell>
          <cell r="T43">
            <v>9</v>
          </cell>
          <cell r="U43">
            <v>6</v>
          </cell>
          <cell r="V43">
            <v>7</v>
          </cell>
          <cell r="W43">
            <v>0</v>
          </cell>
        </row>
        <row r="44">
          <cell r="A44">
            <v>41</v>
          </cell>
          <cell r="B44" t="str">
            <v>Juan Fernando Fonseca</v>
          </cell>
          <cell r="C44">
            <v>166</v>
          </cell>
          <cell r="D44" t="str">
            <v>MESSI</v>
          </cell>
          <cell r="E44">
            <v>13</v>
          </cell>
          <cell r="F44" t="str">
            <v>RUS</v>
          </cell>
          <cell r="G44" t="str">
            <v>ARG</v>
          </cell>
          <cell r="H44" t="str">
            <v>ESP</v>
          </cell>
          <cell r="I44" t="str">
            <v>CRO</v>
          </cell>
          <cell r="J44" t="str">
            <v>PAN</v>
          </cell>
          <cell r="K44" t="str">
            <v>ARG</v>
          </cell>
          <cell r="L44" t="str">
            <v>PAN</v>
          </cell>
          <cell r="M44" t="str">
            <v>IRA</v>
          </cell>
          <cell r="N44" t="str">
            <v>COS</v>
          </cell>
          <cell r="O44" t="str">
            <v>AME</v>
          </cell>
          <cell r="P44" t="str">
            <v>EUR</v>
          </cell>
          <cell r="Q44">
            <v>160</v>
          </cell>
          <cell r="R44" t="str">
            <v>FALCAO</v>
          </cell>
          <cell r="S44" t="str">
            <v>JAMES</v>
          </cell>
          <cell r="T44">
            <v>7</v>
          </cell>
          <cell r="U44">
            <v>7</v>
          </cell>
          <cell r="V44">
            <v>4</v>
          </cell>
          <cell r="W44">
            <v>0</v>
          </cell>
        </row>
        <row r="45">
          <cell r="A45">
            <v>42</v>
          </cell>
          <cell r="B45" t="str">
            <v>Sandra Díez</v>
          </cell>
          <cell r="C45">
            <v>191</v>
          </cell>
          <cell r="D45" t="str">
            <v>NEYMAR</v>
          </cell>
          <cell r="E45">
            <v>7</v>
          </cell>
          <cell r="F45" t="str">
            <v>RUS</v>
          </cell>
          <cell r="G45" t="str">
            <v>BRA</v>
          </cell>
          <cell r="H45" t="str">
            <v>ALE</v>
          </cell>
          <cell r="I45" t="str">
            <v>PAN</v>
          </cell>
          <cell r="J45" t="str">
            <v>MAR</v>
          </cell>
          <cell r="K45" t="str">
            <v>ALE</v>
          </cell>
          <cell r="L45" t="str">
            <v>COR</v>
          </cell>
          <cell r="M45" t="str">
            <v>EGI</v>
          </cell>
          <cell r="N45" t="str">
            <v>BRA</v>
          </cell>
          <cell r="O45" t="str">
            <v>AME</v>
          </cell>
          <cell r="P45" t="str">
            <v>EUR</v>
          </cell>
          <cell r="Q45">
            <v>80</v>
          </cell>
          <cell r="R45" t="str">
            <v>FALCAO</v>
          </cell>
          <cell r="S45" t="str">
            <v>JAMES</v>
          </cell>
          <cell r="T45">
            <v>11</v>
          </cell>
          <cell r="U45">
            <v>7</v>
          </cell>
          <cell r="V45">
            <v>8</v>
          </cell>
          <cell r="W45">
            <v>0</v>
          </cell>
        </row>
        <row r="46">
          <cell r="A46">
            <v>43</v>
          </cell>
          <cell r="B46" t="str">
            <v>Ale Fonseca D</v>
          </cell>
          <cell r="C46">
            <v>168</v>
          </cell>
          <cell r="D46" t="str">
            <v>ISCO</v>
          </cell>
          <cell r="E46">
            <v>6</v>
          </cell>
          <cell r="F46" t="str">
            <v>URU</v>
          </cell>
          <cell r="G46" t="str">
            <v>ESP</v>
          </cell>
          <cell r="H46" t="str">
            <v>URU</v>
          </cell>
          <cell r="I46" t="str">
            <v>AUS</v>
          </cell>
          <cell r="J46" t="str">
            <v>SER</v>
          </cell>
          <cell r="K46" t="str">
            <v>ALE</v>
          </cell>
          <cell r="L46" t="str">
            <v>NIG</v>
          </cell>
          <cell r="M46" t="str">
            <v>ARA</v>
          </cell>
          <cell r="N46" t="str">
            <v>BRA</v>
          </cell>
          <cell r="O46" t="str">
            <v>EUR</v>
          </cell>
          <cell r="P46" t="str">
            <v>EUR</v>
          </cell>
          <cell r="Q46">
            <v>130</v>
          </cell>
          <cell r="R46" t="str">
            <v>JAMES</v>
          </cell>
          <cell r="S46" t="str">
            <v>FALCAO</v>
          </cell>
          <cell r="T46">
            <v>8</v>
          </cell>
          <cell r="U46">
            <v>6</v>
          </cell>
          <cell r="V46">
            <v>8</v>
          </cell>
          <cell r="W46">
            <v>0</v>
          </cell>
        </row>
        <row r="47">
          <cell r="A47">
            <v>44</v>
          </cell>
          <cell r="B47" t="str">
            <v>Luis Eduardo Fonseca</v>
          </cell>
          <cell r="C47">
            <v>191</v>
          </cell>
          <cell r="D47" t="str">
            <v>NEYMAR</v>
          </cell>
          <cell r="E47">
            <v>6</v>
          </cell>
          <cell r="F47" t="str">
            <v>RUS</v>
          </cell>
          <cell r="G47" t="str">
            <v>BRA</v>
          </cell>
          <cell r="H47" t="str">
            <v>EGI</v>
          </cell>
          <cell r="I47" t="str">
            <v>ARA</v>
          </cell>
          <cell r="J47" t="str">
            <v>PAN</v>
          </cell>
          <cell r="K47" t="str">
            <v>BRA</v>
          </cell>
          <cell r="L47" t="str">
            <v>PAN</v>
          </cell>
          <cell r="M47" t="str">
            <v>TUN</v>
          </cell>
          <cell r="N47" t="str">
            <v>BRA</v>
          </cell>
          <cell r="O47" t="str">
            <v>AME</v>
          </cell>
          <cell r="P47" t="str">
            <v>EUR</v>
          </cell>
          <cell r="Q47">
            <v>180</v>
          </cell>
          <cell r="R47" t="str">
            <v>FALCAO</v>
          </cell>
          <cell r="S47" t="str">
            <v>FALCAO</v>
          </cell>
          <cell r="T47">
            <v>9</v>
          </cell>
          <cell r="U47">
            <v>5</v>
          </cell>
          <cell r="V47">
            <v>6</v>
          </cell>
          <cell r="W47">
            <v>0</v>
          </cell>
        </row>
        <row r="48">
          <cell r="A48">
            <v>45</v>
          </cell>
          <cell r="B48" t="str">
            <v>Hernando Garcia</v>
          </cell>
          <cell r="C48">
            <v>173</v>
          </cell>
          <cell r="D48" t="str">
            <v>RONALDO</v>
          </cell>
          <cell r="E48">
            <v>8</v>
          </cell>
          <cell r="F48" t="str">
            <v>RUS</v>
          </cell>
          <cell r="G48" t="str">
            <v>POR</v>
          </cell>
          <cell r="H48" t="str">
            <v>DIN</v>
          </cell>
          <cell r="I48" t="str">
            <v>POR</v>
          </cell>
          <cell r="J48" t="str">
            <v>ISL</v>
          </cell>
          <cell r="K48" t="str">
            <v>BRA</v>
          </cell>
          <cell r="L48" t="str">
            <v>IRA</v>
          </cell>
          <cell r="M48" t="str">
            <v>ARA</v>
          </cell>
          <cell r="N48" t="str">
            <v>ALE</v>
          </cell>
          <cell r="O48" t="str">
            <v>AME</v>
          </cell>
          <cell r="P48" t="str">
            <v>EUR</v>
          </cell>
          <cell r="Q48">
            <v>80</v>
          </cell>
          <cell r="R48" t="str">
            <v>CUADRADO</v>
          </cell>
          <cell r="S48" t="str">
            <v>BORJA</v>
          </cell>
          <cell r="T48">
            <v>9</v>
          </cell>
          <cell r="U48">
            <v>4</v>
          </cell>
          <cell r="V48">
            <v>12</v>
          </cell>
          <cell r="W48">
            <v>0</v>
          </cell>
        </row>
        <row r="49">
          <cell r="A49">
            <v>46</v>
          </cell>
          <cell r="B49" t="str">
            <v>Alvaro Holguin</v>
          </cell>
          <cell r="C49">
            <v>172</v>
          </cell>
          <cell r="D49" t="str">
            <v>FALCAO</v>
          </cell>
          <cell r="E49">
            <v>7</v>
          </cell>
          <cell r="F49" t="str">
            <v>RUS</v>
          </cell>
          <cell r="G49" t="str">
            <v>ARG</v>
          </cell>
          <cell r="H49" t="str">
            <v>BEL</v>
          </cell>
          <cell r="I49" t="str">
            <v>ING</v>
          </cell>
          <cell r="J49" t="str">
            <v>IRA</v>
          </cell>
          <cell r="K49" t="str">
            <v>BRA</v>
          </cell>
          <cell r="L49" t="str">
            <v>ARA</v>
          </cell>
          <cell r="M49" t="str">
            <v>CRO</v>
          </cell>
          <cell r="N49" t="str">
            <v>ING</v>
          </cell>
          <cell r="O49" t="str">
            <v>EUR</v>
          </cell>
          <cell r="P49" t="str">
            <v>AME</v>
          </cell>
          <cell r="Q49">
            <v>50</v>
          </cell>
          <cell r="R49" t="str">
            <v>FALCAO</v>
          </cell>
          <cell r="S49" t="str">
            <v>FALCAO</v>
          </cell>
          <cell r="T49">
            <v>7</v>
          </cell>
          <cell r="U49">
            <v>3</v>
          </cell>
          <cell r="V49">
            <v>5</v>
          </cell>
          <cell r="W49">
            <v>65</v>
          </cell>
        </row>
        <row r="50">
          <cell r="A50">
            <v>47</v>
          </cell>
          <cell r="B50" t="str">
            <v>Ernesto C Lemaitre F</v>
          </cell>
          <cell r="C50">
            <v>159</v>
          </cell>
          <cell r="D50" t="str">
            <v>NEYMAR</v>
          </cell>
          <cell r="E50">
            <v>6</v>
          </cell>
          <cell r="F50" t="str">
            <v>RUS</v>
          </cell>
          <cell r="G50" t="str">
            <v>BRA</v>
          </cell>
          <cell r="H50" t="str">
            <v>ESP</v>
          </cell>
          <cell r="I50" t="str">
            <v>FRA</v>
          </cell>
          <cell r="J50" t="str">
            <v>ARA</v>
          </cell>
          <cell r="K50" t="str">
            <v>ESP</v>
          </cell>
          <cell r="L50" t="str">
            <v>ARA</v>
          </cell>
          <cell r="M50" t="str">
            <v>PAN</v>
          </cell>
          <cell r="N50" t="str">
            <v>POL</v>
          </cell>
          <cell r="O50" t="str">
            <v>AME</v>
          </cell>
          <cell r="P50" t="str">
            <v>EUR</v>
          </cell>
          <cell r="Q50">
            <v>130</v>
          </cell>
          <cell r="R50" t="str">
            <v>FALCAO</v>
          </cell>
          <cell r="S50" t="str">
            <v>JAMES</v>
          </cell>
          <cell r="T50">
            <v>5</v>
          </cell>
          <cell r="U50">
            <v>5</v>
          </cell>
          <cell r="V50">
            <v>11</v>
          </cell>
          <cell r="W50">
            <v>0</v>
          </cell>
        </row>
        <row r="51">
          <cell r="A51">
            <v>48</v>
          </cell>
          <cell r="B51" t="str">
            <v>Alejandro-Camilo Borrero</v>
          </cell>
          <cell r="C51">
            <v>200</v>
          </cell>
          <cell r="D51" t="str">
            <v>ISCO</v>
          </cell>
          <cell r="E51">
            <v>9</v>
          </cell>
          <cell r="F51" t="str">
            <v>RUS</v>
          </cell>
          <cell r="G51" t="str">
            <v>BRA</v>
          </cell>
          <cell r="H51" t="str">
            <v>ALE</v>
          </cell>
          <cell r="I51" t="str">
            <v>ESP</v>
          </cell>
          <cell r="J51" t="str">
            <v>ISL</v>
          </cell>
          <cell r="K51" t="str">
            <v>ESP</v>
          </cell>
          <cell r="L51" t="str">
            <v>COL</v>
          </cell>
          <cell r="M51" t="str">
            <v>FRA</v>
          </cell>
          <cell r="N51" t="str">
            <v>ESP</v>
          </cell>
          <cell r="O51" t="str">
            <v>EUR</v>
          </cell>
          <cell r="P51" t="str">
            <v>AME</v>
          </cell>
          <cell r="Q51">
            <v>50</v>
          </cell>
          <cell r="R51" t="str">
            <v>JAMES</v>
          </cell>
          <cell r="S51" t="str">
            <v>MINA</v>
          </cell>
          <cell r="T51">
            <v>16</v>
          </cell>
          <cell r="U51">
            <v>11</v>
          </cell>
          <cell r="V51">
            <v>3</v>
          </cell>
          <cell r="W51">
            <v>50</v>
          </cell>
        </row>
        <row r="52">
          <cell r="A52">
            <v>49</v>
          </cell>
          <cell r="B52" t="str">
            <v>Toqui - Estefania - Daniel</v>
          </cell>
          <cell r="C52">
            <v>169</v>
          </cell>
          <cell r="D52" t="str">
            <v>MESSI</v>
          </cell>
          <cell r="E52">
            <v>6</v>
          </cell>
          <cell r="F52" t="str">
            <v>RUS</v>
          </cell>
          <cell r="G52" t="str">
            <v>ALE</v>
          </cell>
          <cell r="H52" t="str">
            <v>ISL</v>
          </cell>
          <cell r="I52" t="str">
            <v>ALE</v>
          </cell>
          <cell r="J52" t="str">
            <v>MAR</v>
          </cell>
          <cell r="K52" t="str">
            <v>ALE</v>
          </cell>
          <cell r="L52" t="str">
            <v>ARG</v>
          </cell>
          <cell r="M52" t="str">
            <v>MAR</v>
          </cell>
          <cell r="N52" t="str">
            <v>ING</v>
          </cell>
          <cell r="O52" t="str">
            <v>EUR</v>
          </cell>
          <cell r="P52" t="str">
            <v>EUR</v>
          </cell>
          <cell r="Q52">
            <v>265</v>
          </cell>
          <cell r="R52" t="str">
            <v>JAMES</v>
          </cell>
          <cell r="S52" t="str">
            <v>JAMES</v>
          </cell>
          <cell r="T52">
            <v>7</v>
          </cell>
          <cell r="U52">
            <v>4</v>
          </cell>
          <cell r="V52">
            <v>5</v>
          </cell>
          <cell r="W52">
            <v>0</v>
          </cell>
        </row>
        <row r="53">
          <cell r="A53">
            <v>50</v>
          </cell>
          <cell r="B53" t="str">
            <v>Toqui Lemaitre</v>
          </cell>
          <cell r="C53">
            <v>158</v>
          </cell>
          <cell r="D53" t="str">
            <v>NEYMAR</v>
          </cell>
          <cell r="E53">
            <v>6</v>
          </cell>
          <cell r="F53" t="str">
            <v>RUS</v>
          </cell>
          <cell r="G53" t="str">
            <v>ALE</v>
          </cell>
          <cell r="H53" t="str">
            <v>SUI</v>
          </cell>
          <cell r="I53" t="str">
            <v>POL</v>
          </cell>
          <cell r="J53" t="str">
            <v>ISL</v>
          </cell>
          <cell r="K53" t="str">
            <v>ALE</v>
          </cell>
          <cell r="L53" t="str">
            <v>FRA</v>
          </cell>
          <cell r="M53" t="str">
            <v>ARA</v>
          </cell>
          <cell r="N53" t="str">
            <v>MEX</v>
          </cell>
          <cell r="O53" t="str">
            <v>AME</v>
          </cell>
          <cell r="P53" t="str">
            <v>EUR</v>
          </cell>
          <cell r="Q53">
            <v>130</v>
          </cell>
          <cell r="R53" t="str">
            <v>FALCAO</v>
          </cell>
          <cell r="S53" t="str">
            <v>FALCAO</v>
          </cell>
          <cell r="T53">
            <v>9</v>
          </cell>
          <cell r="U53">
            <v>4</v>
          </cell>
          <cell r="V53">
            <v>6</v>
          </cell>
          <cell r="W53">
            <v>0</v>
          </cell>
        </row>
        <row r="54">
          <cell r="A54">
            <v>51</v>
          </cell>
          <cell r="B54" t="str">
            <v>Christian Hassig</v>
          </cell>
          <cell r="C54">
            <v>160</v>
          </cell>
          <cell r="D54" t="str">
            <v>MULLER</v>
          </cell>
          <cell r="E54">
            <v>6</v>
          </cell>
          <cell r="F54" t="str">
            <v>RUS</v>
          </cell>
          <cell r="G54" t="str">
            <v>ALE</v>
          </cell>
          <cell r="H54" t="str">
            <v>FRA</v>
          </cell>
          <cell r="I54" t="str">
            <v>SUI</v>
          </cell>
          <cell r="J54" t="str">
            <v>PAN</v>
          </cell>
          <cell r="K54" t="str">
            <v>ALE</v>
          </cell>
          <cell r="L54" t="str">
            <v>AUS</v>
          </cell>
          <cell r="M54" t="str">
            <v>IRA</v>
          </cell>
          <cell r="N54" t="str">
            <v>ALE</v>
          </cell>
          <cell r="O54" t="str">
            <v>EUR</v>
          </cell>
          <cell r="P54" t="str">
            <v>AME</v>
          </cell>
          <cell r="Q54">
            <v>51</v>
          </cell>
          <cell r="R54" t="str">
            <v>FALCAO</v>
          </cell>
          <cell r="S54" t="str">
            <v>FALCAO</v>
          </cell>
          <cell r="T54">
            <v>7</v>
          </cell>
          <cell r="U54">
            <v>5</v>
          </cell>
          <cell r="V54">
            <v>6</v>
          </cell>
          <cell r="W54">
            <v>0</v>
          </cell>
        </row>
        <row r="55">
          <cell r="B55" t="str">
            <v>No. Aciertos</v>
          </cell>
          <cell r="C55">
            <v>1</v>
          </cell>
          <cell r="D55">
            <v>1</v>
          </cell>
          <cell r="E55">
            <v>19</v>
          </cell>
          <cell r="F55">
            <v>47</v>
          </cell>
          <cell r="G55">
            <v>0</v>
          </cell>
          <cell r="H55">
            <v>2</v>
          </cell>
          <cell r="I55">
            <v>6</v>
          </cell>
          <cell r="J55">
            <v>11</v>
          </cell>
          <cell r="K55">
            <v>0</v>
          </cell>
          <cell r="L55">
            <v>10</v>
          </cell>
          <cell r="M55">
            <v>0</v>
          </cell>
          <cell r="N55">
            <v>0</v>
          </cell>
          <cell r="O55">
            <v>21</v>
          </cell>
          <cell r="P55">
            <v>34</v>
          </cell>
          <cell r="Q55">
            <v>42</v>
          </cell>
          <cell r="R55">
            <v>0</v>
          </cell>
          <cell r="S55">
            <v>1</v>
          </cell>
          <cell r="T55">
            <v>4</v>
          </cell>
          <cell r="U55">
            <v>5</v>
          </cell>
          <cell r="V55">
            <v>3</v>
          </cell>
          <cell r="W55">
            <v>66</v>
          </cell>
        </row>
      </sheetData>
      <sheetData sheetId="14"/>
      <sheetData sheetId="15"/>
      <sheetData sheetId="16">
        <row r="23">
          <cell r="B23" t="str">
            <v>Grupo A</v>
          </cell>
          <cell r="K23" t="str">
            <v>Grupo B</v>
          </cell>
          <cell r="T23" t="str">
            <v>Grupo C</v>
          </cell>
          <cell r="AC23" t="str">
            <v>Grupo D</v>
          </cell>
        </row>
        <row r="24">
          <cell r="C24" t="str">
            <v>Est</v>
          </cell>
          <cell r="D24" t="str">
            <v>Real</v>
          </cell>
          <cell r="E24" t="str">
            <v>Ptos</v>
          </cell>
          <cell r="F24" t="str">
            <v>Real</v>
          </cell>
          <cell r="G24" t="str">
            <v>Est</v>
          </cell>
          <cell r="L24" t="str">
            <v>Est</v>
          </cell>
          <cell r="M24" t="str">
            <v>Real</v>
          </cell>
          <cell r="N24" t="str">
            <v>Ptos</v>
          </cell>
          <cell r="O24" t="str">
            <v>Real</v>
          </cell>
          <cell r="P24" t="str">
            <v>Est</v>
          </cell>
          <cell r="U24" t="str">
            <v>Est</v>
          </cell>
          <cell r="V24" t="str">
            <v>Real</v>
          </cell>
          <cell r="W24" t="str">
            <v>Ptos</v>
          </cell>
          <cell r="X24" t="str">
            <v>Real</v>
          </cell>
          <cell r="Y24" t="str">
            <v>Est</v>
          </cell>
          <cell r="AD24" t="str">
            <v>Est</v>
          </cell>
          <cell r="AE24" t="str">
            <v>Real</v>
          </cell>
          <cell r="AF24" t="str">
            <v>Ptos</v>
          </cell>
          <cell r="AG24" t="str">
            <v>Real</v>
          </cell>
          <cell r="AH24" t="str">
            <v>Est</v>
          </cell>
        </row>
        <row r="25">
          <cell r="A25">
            <v>1</v>
          </cell>
          <cell r="B25" t="str">
            <v>RUS Rusia</v>
          </cell>
          <cell r="D25">
            <v>5</v>
          </cell>
          <cell r="E25" t="e">
            <v>#REF!</v>
          </cell>
          <cell r="F25">
            <v>0</v>
          </cell>
          <cell r="H25" t="str">
            <v>ARA Arabia S</v>
          </cell>
          <cell r="J25">
            <v>3</v>
          </cell>
          <cell r="K25" t="str">
            <v>MAR Marruecos</v>
          </cell>
          <cell r="M25">
            <v>0</v>
          </cell>
          <cell r="N25" t="e">
            <v>#REF!</v>
          </cell>
          <cell r="O25">
            <v>1</v>
          </cell>
          <cell r="Q25" t="str">
            <v>IRA Irán</v>
          </cell>
          <cell r="S25">
            <v>5</v>
          </cell>
          <cell r="T25" t="str">
            <v>FRA Francia</v>
          </cell>
          <cell r="V25">
            <v>2</v>
          </cell>
          <cell r="W25" t="e">
            <v>#REF!</v>
          </cell>
          <cell r="X25">
            <v>1</v>
          </cell>
          <cell r="Z25" t="str">
            <v>AUS Australia</v>
          </cell>
          <cell r="AB25">
            <v>6</v>
          </cell>
          <cell r="AC25" t="str">
            <v>ARG Argentina</v>
          </cell>
          <cell r="AE25">
            <v>1</v>
          </cell>
          <cell r="AF25">
            <v>0</v>
          </cell>
          <cell r="AG25">
            <v>1</v>
          </cell>
          <cell r="AI25" t="str">
            <v>ISL Islandia</v>
          </cell>
        </row>
        <row r="26">
          <cell r="A26">
            <v>2</v>
          </cell>
          <cell r="B26" t="str">
            <v>EGI Egipto</v>
          </cell>
          <cell r="D26">
            <v>0</v>
          </cell>
          <cell r="E26" t="e">
            <v>#REF!</v>
          </cell>
          <cell r="F26">
            <v>1</v>
          </cell>
          <cell r="H26" t="str">
            <v>URU Uruguay</v>
          </cell>
          <cell r="J26">
            <v>4</v>
          </cell>
          <cell r="K26" t="str">
            <v>POR Portugal</v>
          </cell>
          <cell r="M26">
            <v>3</v>
          </cell>
          <cell r="N26" t="e">
            <v>#REF!</v>
          </cell>
          <cell r="O26">
            <v>3</v>
          </cell>
          <cell r="Q26" t="str">
            <v>ESP España</v>
          </cell>
          <cell r="S26">
            <v>7</v>
          </cell>
          <cell r="T26" t="str">
            <v>PER Perú</v>
          </cell>
          <cell r="V26">
            <v>0</v>
          </cell>
          <cell r="W26">
            <v>0</v>
          </cell>
          <cell r="X26">
            <v>1</v>
          </cell>
          <cell r="Z26" t="str">
            <v>DIN Dinamarca</v>
          </cell>
          <cell r="AB26">
            <v>8</v>
          </cell>
          <cell r="AC26" t="str">
            <v>CRO Croacia</v>
          </cell>
          <cell r="AE26">
            <v>2</v>
          </cell>
          <cell r="AF26" t="e">
            <v>#REF!</v>
          </cell>
          <cell r="AG26">
            <v>0</v>
          </cell>
          <cell r="AI26" t="str">
            <v>NIG Nigeria</v>
          </cell>
        </row>
        <row r="27">
          <cell r="A27">
            <v>17</v>
          </cell>
          <cell r="B27" t="str">
            <v>RUS Rusia</v>
          </cell>
          <cell r="D27">
            <v>3</v>
          </cell>
          <cell r="E27" t="e">
            <v>#REF!</v>
          </cell>
          <cell r="F27">
            <v>1</v>
          </cell>
          <cell r="H27" t="str">
            <v>EGI Egipto</v>
          </cell>
          <cell r="J27">
            <v>18</v>
          </cell>
          <cell r="K27" t="str">
            <v>POR Portugal</v>
          </cell>
          <cell r="M27">
            <v>1</v>
          </cell>
          <cell r="N27" t="e">
            <v>#REF!</v>
          </cell>
          <cell r="O27">
            <v>0</v>
          </cell>
          <cell r="Q27" t="str">
            <v>MAR Marruecos</v>
          </cell>
          <cell r="S27">
            <v>21</v>
          </cell>
          <cell r="T27" t="str">
            <v>FRA Francia</v>
          </cell>
          <cell r="V27">
            <v>1</v>
          </cell>
          <cell r="W27" t="e">
            <v>#REF!</v>
          </cell>
          <cell r="X27">
            <v>0</v>
          </cell>
          <cell r="Z27" t="str">
            <v>PER Perú</v>
          </cell>
          <cell r="AB27">
            <v>23</v>
          </cell>
          <cell r="AC27" t="str">
            <v>ARG Argentina</v>
          </cell>
          <cell r="AE27">
            <v>0</v>
          </cell>
          <cell r="AF27">
            <v>0</v>
          </cell>
          <cell r="AG27">
            <v>3</v>
          </cell>
          <cell r="AI27" t="str">
            <v>CRO Croacia</v>
          </cell>
        </row>
        <row r="28">
          <cell r="A28">
            <v>19</v>
          </cell>
          <cell r="B28" t="str">
            <v>URU Uruguay</v>
          </cell>
          <cell r="D28">
            <v>1</v>
          </cell>
          <cell r="E28" t="e">
            <v>#REF!</v>
          </cell>
          <cell r="F28">
            <v>0</v>
          </cell>
          <cell r="H28" t="str">
            <v>ARA Arabia S</v>
          </cell>
          <cell r="J28">
            <v>20</v>
          </cell>
          <cell r="K28" t="str">
            <v>IRA Irán</v>
          </cell>
          <cell r="M28">
            <v>0</v>
          </cell>
          <cell r="N28" t="e">
            <v>#REF!</v>
          </cell>
          <cell r="O28">
            <v>1</v>
          </cell>
          <cell r="Q28" t="str">
            <v>ESP España</v>
          </cell>
          <cell r="S28">
            <v>22</v>
          </cell>
          <cell r="T28" t="str">
            <v>DIN Dinamarca</v>
          </cell>
          <cell r="V28">
            <v>1</v>
          </cell>
          <cell r="W28" t="e">
            <v>#REF!</v>
          </cell>
          <cell r="X28">
            <v>1</v>
          </cell>
          <cell r="Z28" t="str">
            <v>AUS Australia</v>
          </cell>
          <cell r="AB28">
            <v>25</v>
          </cell>
          <cell r="AC28" t="str">
            <v>NIG Nigeria</v>
          </cell>
          <cell r="AE28">
            <v>2</v>
          </cell>
          <cell r="AF28" t="e">
            <v>#REF!</v>
          </cell>
          <cell r="AG28">
            <v>0</v>
          </cell>
          <cell r="AI28" t="str">
            <v>ISL Islandia</v>
          </cell>
        </row>
        <row r="29">
          <cell r="A29">
            <v>33</v>
          </cell>
          <cell r="B29" t="str">
            <v>URU Uruguay</v>
          </cell>
          <cell r="D29">
            <v>3</v>
          </cell>
          <cell r="E29" t="e">
            <v>#REF!</v>
          </cell>
          <cell r="F29">
            <v>0</v>
          </cell>
          <cell r="H29" t="str">
            <v>RUS Rusia</v>
          </cell>
          <cell r="J29">
            <v>35</v>
          </cell>
          <cell r="K29" t="str">
            <v>ESP España</v>
          </cell>
          <cell r="M29">
            <v>2</v>
          </cell>
          <cell r="N29" t="e">
            <v>#REF!</v>
          </cell>
          <cell r="O29">
            <v>2</v>
          </cell>
          <cell r="Q29" t="str">
            <v>MAR Marruecos</v>
          </cell>
          <cell r="S29">
            <v>37</v>
          </cell>
          <cell r="T29" t="str">
            <v>DIN Dinamarca</v>
          </cell>
          <cell r="V29">
            <v>0</v>
          </cell>
          <cell r="W29" t="e">
            <v>#REF!</v>
          </cell>
          <cell r="X29">
            <v>0</v>
          </cell>
          <cell r="Z29" t="str">
            <v>FRA Francia</v>
          </cell>
          <cell r="AB29">
            <v>39</v>
          </cell>
          <cell r="AC29" t="str">
            <v>ISL Islandia</v>
          </cell>
          <cell r="AE29">
            <v>1</v>
          </cell>
          <cell r="AF29" t="e">
            <v>#REF!</v>
          </cell>
          <cell r="AG29">
            <v>2</v>
          </cell>
          <cell r="AI29" t="str">
            <v>CRO Croacia</v>
          </cell>
        </row>
        <row r="30">
          <cell r="A30">
            <v>34</v>
          </cell>
          <cell r="B30" t="str">
            <v>ARA Arabia S</v>
          </cell>
          <cell r="D30">
            <v>2</v>
          </cell>
          <cell r="E30" t="e">
            <v>#REF!</v>
          </cell>
          <cell r="F30">
            <v>1</v>
          </cell>
          <cell r="H30" t="str">
            <v>EGI Egipto</v>
          </cell>
          <cell r="J30">
            <v>36</v>
          </cell>
          <cell r="K30" t="str">
            <v>IRA Irán</v>
          </cell>
          <cell r="M30">
            <v>1</v>
          </cell>
          <cell r="N30">
            <v>0</v>
          </cell>
          <cell r="O30">
            <v>1</v>
          </cell>
          <cell r="Q30" t="str">
            <v>POR Portugal</v>
          </cell>
          <cell r="S30">
            <v>38</v>
          </cell>
          <cell r="T30" t="str">
            <v>AUS Australia</v>
          </cell>
          <cell r="V30">
            <v>0</v>
          </cell>
          <cell r="W30" t="e">
            <v>#REF!</v>
          </cell>
          <cell r="X30">
            <v>2</v>
          </cell>
          <cell r="Z30" t="str">
            <v>PER Perú</v>
          </cell>
          <cell r="AB30">
            <v>40</v>
          </cell>
          <cell r="AC30" t="str">
            <v>NIG Nigeria</v>
          </cell>
          <cell r="AE30">
            <v>1</v>
          </cell>
          <cell r="AF30" t="e">
            <v>#REF!</v>
          </cell>
          <cell r="AG30">
            <v>2</v>
          </cell>
          <cell r="AI30" t="str">
            <v>ARG Argentina</v>
          </cell>
        </row>
        <row r="31">
          <cell r="B31" t="str">
            <v>N° Goles  :</v>
          </cell>
          <cell r="C31">
            <v>0</v>
          </cell>
          <cell r="D31">
            <v>14</v>
          </cell>
          <cell r="E31" t="e">
            <v>#REF!</v>
          </cell>
          <cell r="F31">
            <v>3</v>
          </cell>
          <cell r="G31">
            <v>0</v>
          </cell>
          <cell r="K31" t="str">
            <v>N° Goles  :</v>
          </cell>
          <cell r="L31">
            <v>0</v>
          </cell>
          <cell r="M31">
            <v>7</v>
          </cell>
          <cell r="N31" t="e">
            <v>#REF!</v>
          </cell>
          <cell r="O31">
            <v>8</v>
          </cell>
          <cell r="P31">
            <v>0</v>
          </cell>
          <cell r="T31" t="str">
            <v>N° Goles  :</v>
          </cell>
          <cell r="U31">
            <v>0</v>
          </cell>
          <cell r="V31">
            <v>4</v>
          </cell>
          <cell r="W31" t="e">
            <v>#REF!</v>
          </cell>
          <cell r="X31">
            <v>5</v>
          </cell>
          <cell r="Y31">
            <v>0</v>
          </cell>
          <cell r="AC31" t="str">
            <v>N° Goles  :</v>
          </cell>
          <cell r="AD31">
            <v>0</v>
          </cell>
          <cell r="AE31">
            <v>7</v>
          </cell>
          <cell r="AF31" t="e">
            <v>#REF!</v>
          </cell>
          <cell r="AG31">
            <v>8</v>
          </cell>
          <cell r="AH31">
            <v>0</v>
          </cell>
        </row>
        <row r="32">
          <cell r="B32" t="str">
            <v>Grupo E</v>
          </cell>
          <cell r="K32" t="str">
            <v>Grupo F</v>
          </cell>
          <cell r="T32" t="str">
            <v>Grupo G</v>
          </cell>
          <cell r="AC32" t="str">
            <v>Grupo H</v>
          </cell>
        </row>
        <row r="33">
          <cell r="C33" t="str">
            <v>Est</v>
          </cell>
          <cell r="D33" t="str">
            <v>Real</v>
          </cell>
          <cell r="E33" t="str">
            <v>Ptos</v>
          </cell>
          <cell r="F33" t="str">
            <v>Real</v>
          </cell>
          <cell r="G33" t="str">
            <v>Est</v>
          </cell>
          <cell r="L33" t="str">
            <v>Est</v>
          </cell>
          <cell r="M33" t="str">
            <v>Real</v>
          </cell>
          <cell r="N33" t="str">
            <v>Ptos</v>
          </cell>
          <cell r="O33" t="str">
            <v>Real</v>
          </cell>
          <cell r="P33" t="str">
            <v>Est</v>
          </cell>
          <cell r="U33" t="str">
            <v>Est</v>
          </cell>
          <cell r="V33" t="str">
            <v>Real</v>
          </cell>
          <cell r="W33" t="str">
            <v>Ptos</v>
          </cell>
          <cell r="X33" t="str">
            <v>Real</v>
          </cell>
          <cell r="Y33" t="str">
            <v>Est</v>
          </cell>
          <cell r="AD33" t="str">
            <v>Est</v>
          </cell>
          <cell r="AE33" t="str">
            <v>Real</v>
          </cell>
          <cell r="AF33" t="str">
            <v>Ptos</v>
          </cell>
          <cell r="AG33" t="str">
            <v>Real</v>
          </cell>
          <cell r="AH33" t="str">
            <v>Est</v>
          </cell>
        </row>
        <row r="34">
          <cell r="A34">
            <v>9</v>
          </cell>
          <cell r="B34" t="str">
            <v>COS Costa Rica</v>
          </cell>
          <cell r="D34">
            <v>0</v>
          </cell>
          <cell r="E34">
            <v>0</v>
          </cell>
          <cell r="F34">
            <v>1</v>
          </cell>
          <cell r="H34" t="str">
            <v>SER Serbia</v>
          </cell>
          <cell r="J34">
            <v>10</v>
          </cell>
          <cell r="K34" t="str">
            <v>ALE Alemania</v>
          </cell>
          <cell r="M34">
            <v>0</v>
          </cell>
          <cell r="N34">
            <v>0</v>
          </cell>
          <cell r="O34">
            <v>1</v>
          </cell>
          <cell r="Q34" t="str">
            <v>MEX México</v>
          </cell>
          <cell r="S34">
            <v>13</v>
          </cell>
          <cell r="T34" t="str">
            <v>BEL Bélgica</v>
          </cell>
          <cell r="V34">
            <v>3</v>
          </cell>
          <cell r="W34" t="e">
            <v>#REF!</v>
          </cell>
          <cell r="X34">
            <v>0</v>
          </cell>
          <cell r="Z34" t="str">
            <v>PAN Panamá</v>
          </cell>
          <cell r="AB34">
            <v>15</v>
          </cell>
          <cell r="AC34" t="str">
            <v>POL Polonia</v>
          </cell>
          <cell r="AE34">
            <v>1</v>
          </cell>
          <cell r="AF34" t="e">
            <v>#REF!</v>
          </cell>
          <cell r="AG34">
            <v>2</v>
          </cell>
          <cell r="AI34" t="str">
            <v>SEN Senegal</v>
          </cell>
        </row>
        <row r="35">
          <cell r="A35">
            <v>11</v>
          </cell>
          <cell r="B35" t="str">
            <v>BRA Brasíl</v>
          </cell>
          <cell r="D35">
            <v>1</v>
          </cell>
          <cell r="E35" t="e">
            <v>#REF!</v>
          </cell>
          <cell r="F35">
            <v>1</v>
          </cell>
          <cell r="H35" t="str">
            <v>SUI Suiza</v>
          </cell>
          <cell r="J35">
            <v>12</v>
          </cell>
          <cell r="K35" t="str">
            <v>SUE Suecia</v>
          </cell>
          <cell r="M35">
            <v>1</v>
          </cell>
          <cell r="N35" t="e">
            <v>#REF!</v>
          </cell>
          <cell r="O35">
            <v>0</v>
          </cell>
          <cell r="Q35" t="str">
            <v>COR Corea del Sur</v>
          </cell>
          <cell r="S35">
            <v>14</v>
          </cell>
          <cell r="T35" t="str">
            <v>TUN Túnez</v>
          </cell>
          <cell r="V35">
            <v>1</v>
          </cell>
          <cell r="W35" t="e">
            <v>#REF!</v>
          </cell>
          <cell r="X35">
            <v>2</v>
          </cell>
          <cell r="Z35" t="str">
            <v>ING Inglaterra</v>
          </cell>
          <cell r="AB35">
            <v>16</v>
          </cell>
          <cell r="AC35" t="str">
            <v>COL Colombia</v>
          </cell>
          <cell r="AE35">
            <v>1</v>
          </cell>
          <cell r="AF35">
            <v>0</v>
          </cell>
          <cell r="AG35">
            <v>2</v>
          </cell>
          <cell r="AI35" t="str">
            <v>JAP Japón</v>
          </cell>
        </row>
        <row r="36">
          <cell r="A36">
            <v>24</v>
          </cell>
          <cell r="B36" t="str">
            <v>BRA Brasíl</v>
          </cell>
          <cell r="D36">
            <v>2</v>
          </cell>
          <cell r="E36" t="e">
            <v>#REF!</v>
          </cell>
          <cell r="F36">
            <v>0</v>
          </cell>
          <cell r="H36" t="str">
            <v>COS Costa Rica</v>
          </cell>
          <cell r="J36">
            <v>28</v>
          </cell>
          <cell r="K36" t="str">
            <v>ALE Alemania</v>
          </cell>
          <cell r="M36">
            <v>2</v>
          </cell>
          <cell r="N36" t="e">
            <v>#REF!</v>
          </cell>
          <cell r="O36">
            <v>1</v>
          </cell>
          <cell r="Q36" t="str">
            <v>SUE Suecia</v>
          </cell>
          <cell r="S36">
            <v>27</v>
          </cell>
          <cell r="T36" t="str">
            <v>BEL Bélgica</v>
          </cell>
          <cell r="V36">
            <v>5</v>
          </cell>
          <cell r="W36" t="e">
            <v>#REF!</v>
          </cell>
          <cell r="X36">
            <v>2</v>
          </cell>
          <cell r="Z36" t="str">
            <v>TUN Túnez</v>
          </cell>
          <cell r="AB36">
            <v>31</v>
          </cell>
          <cell r="AC36" t="str">
            <v>JAP Japón</v>
          </cell>
          <cell r="AE36">
            <v>2</v>
          </cell>
          <cell r="AF36" t="e">
            <v>#REF!</v>
          </cell>
          <cell r="AG36">
            <v>2</v>
          </cell>
          <cell r="AI36" t="str">
            <v>SEN Senegal</v>
          </cell>
        </row>
        <row r="37">
          <cell r="A37">
            <v>26</v>
          </cell>
          <cell r="B37" t="str">
            <v>SER Serbia</v>
          </cell>
          <cell r="D37">
            <v>1</v>
          </cell>
          <cell r="E37" t="e">
            <v>#REF!</v>
          </cell>
          <cell r="F37">
            <v>2</v>
          </cell>
          <cell r="H37" t="str">
            <v>SUI Suiza</v>
          </cell>
          <cell r="J37">
            <v>29</v>
          </cell>
          <cell r="K37" t="str">
            <v>COR Corea del Sur</v>
          </cell>
          <cell r="M37">
            <v>1</v>
          </cell>
          <cell r="N37" t="e">
            <v>#REF!</v>
          </cell>
          <cell r="O37">
            <v>2</v>
          </cell>
          <cell r="Q37" t="str">
            <v>MEX México</v>
          </cell>
          <cell r="S37">
            <v>30</v>
          </cell>
          <cell r="T37" t="str">
            <v>ING Inglaterra</v>
          </cell>
          <cell r="V37">
            <v>6</v>
          </cell>
          <cell r="W37" t="e">
            <v>#REF!</v>
          </cell>
          <cell r="X37">
            <v>1</v>
          </cell>
          <cell r="Z37" t="str">
            <v>PAN Panamá</v>
          </cell>
          <cell r="AB37">
            <v>32</v>
          </cell>
          <cell r="AC37" t="str">
            <v>POL Polonia</v>
          </cell>
          <cell r="AE37">
            <v>0</v>
          </cell>
          <cell r="AF37" t="e">
            <v>#REF!</v>
          </cell>
          <cell r="AG37">
            <v>3</v>
          </cell>
          <cell r="AI37" t="str">
            <v>COL Colombia</v>
          </cell>
        </row>
        <row r="38">
          <cell r="A38">
            <v>43</v>
          </cell>
          <cell r="B38" t="str">
            <v>SER Serbia</v>
          </cell>
          <cell r="D38">
            <v>0</v>
          </cell>
          <cell r="E38" t="e">
            <v>#REF!</v>
          </cell>
          <cell r="F38">
            <v>2</v>
          </cell>
          <cell r="H38" t="str">
            <v>BRA Brasíl</v>
          </cell>
          <cell r="J38">
            <v>41</v>
          </cell>
          <cell r="K38" t="str">
            <v>COR Corea del Sur</v>
          </cell>
          <cell r="M38">
            <v>2</v>
          </cell>
          <cell r="N38">
            <v>0</v>
          </cell>
          <cell r="O38">
            <v>0</v>
          </cell>
          <cell r="Q38" t="str">
            <v>ALE Alemania</v>
          </cell>
          <cell r="S38">
            <v>47</v>
          </cell>
          <cell r="T38" t="str">
            <v>ING Inglaterra</v>
          </cell>
          <cell r="V38">
            <v>0</v>
          </cell>
          <cell r="W38" t="e">
            <v>#REF!</v>
          </cell>
          <cell r="X38">
            <v>1</v>
          </cell>
          <cell r="Z38" t="str">
            <v>BEL Bélgica</v>
          </cell>
          <cell r="AB38">
            <v>45</v>
          </cell>
          <cell r="AC38" t="str">
            <v>JAP Japón</v>
          </cell>
          <cell r="AE38">
            <v>0</v>
          </cell>
          <cell r="AF38" t="e">
            <v>#REF!</v>
          </cell>
          <cell r="AG38">
            <v>1</v>
          </cell>
          <cell r="AI38" t="str">
            <v>POL Polonia</v>
          </cell>
        </row>
        <row r="39">
          <cell r="A39">
            <v>44</v>
          </cell>
          <cell r="B39" t="str">
            <v>SUI Suiza</v>
          </cell>
          <cell r="D39">
            <v>2</v>
          </cell>
          <cell r="E39" t="e">
            <v>#REF!</v>
          </cell>
          <cell r="F39">
            <v>2</v>
          </cell>
          <cell r="H39" t="str">
            <v>COS Costa Rica</v>
          </cell>
          <cell r="J39">
            <v>42</v>
          </cell>
          <cell r="K39" t="str">
            <v>MEX México</v>
          </cell>
          <cell r="M39">
            <v>0</v>
          </cell>
          <cell r="N39" t="e">
            <v>#REF!</v>
          </cell>
          <cell r="O39">
            <v>3</v>
          </cell>
          <cell r="Q39" t="str">
            <v>SUE Suecia</v>
          </cell>
          <cell r="S39">
            <v>48</v>
          </cell>
          <cell r="T39" t="str">
            <v>PAN Panamá</v>
          </cell>
          <cell r="V39">
            <v>1</v>
          </cell>
          <cell r="W39" t="e">
            <v>#REF!</v>
          </cell>
          <cell r="X39">
            <v>2</v>
          </cell>
          <cell r="Z39" t="str">
            <v>TUN Túnez</v>
          </cell>
          <cell r="AB39">
            <v>46</v>
          </cell>
          <cell r="AC39" t="str">
            <v>SEN Senegal</v>
          </cell>
          <cell r="AE39">
            <v>0</v>
          </cell>
          <cell r="AF39" t="e">
            <v>#REF!</v>
          </cell>
          <cell r="AG39">
            <v>1</v>
          </cell>
          <cell r="AI39" t="str">
            <v>COL Colombia</v>
          </cell>
        </row>
        <row r="40">
          <cell r="B40" t="str">
            <v>N° Goles  :</v>
          </cell>
          <cell r="C40">
            <v>0</v>
          </cell>
          <cell r="D40">
            <v>6</v>
          </cell>
          <cell r="E40" t="e">
            <v>#REF!</v>
          </cell>
          <cell r="F40">
            <v>8</v>
          </cell>
          <cell r="G40">
            <v>0</v>
          </cell>
          <cell r="K40" t="str">
            <v>N° Goles  :</v>
          </cell>
          <cell r="L40">
            <v>0</v>
          </cell>
          <cell r="M40">
            <v>6</v>
          </cell>
          <cell r="N40" t="e">
            <v>#REF!</v>
          </cell>
          <cell r="O40">
            <v>7</v>
          </cell>
          <cell r="P40">
            <v>0</v>
          </cell>
          <cell r="T40" t="str">
            <v>N° Goles  :</v>
          </cell>
          <cell r="U40">
            <v>0</v>
          </cell>
          <cell r="V40">
            <v>16</v>
          </cell>
          <cell r="W40" t="e">
            <v>#REF!</v>
          </cell>
          <cell r="X40">
            <v>8</v>
          </cell>
          <cell r="Y40">
            <v>0</v>
          </cell>
          <cell r="AC40" t="str">
            <v>N° Goles  :</v>
          </cell>
          <cell r="AD40">
            <v>0</v>
          </cell>
          <cell r="AE40">
            <v>4</v>
          </cell>
          <cell r="AF40" t="e">
            <v>#REF!</v>
          </cell>
          <cell r="AG40">
            <v>11</v>
          </cell>
          <cell r="AH40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cripcion"/>
      <sheetName val="RankingFifa"/>
      <sheetName val="Premios"/>
      <sheetName val="Participantes"/>
      <sheetName val="Boletin"/>
      <sheetName val="Calendario"/>
      <sheetName val="Tablas"/>
      <sheetName val="Puntajes"/>
      <sheetName val="PTotales"/>
      <sheetName val="Marcadores"/>
      <sheetName val="PMarcador"/>
      <sheetName val="Equipos"/>
      <sheetName val="PEquipos"/>
      <sheetName val="Extras"/>
      <sheetName val="PExtras"/>
      <sheetName val="Formularios"/>
      <sheetName val="D000"/>
      <sheetName val="Hoja1"/>
      <sheetName val="Resumen Posiciones"/>
      <sheetName val="D001"/>
      <sheetName val="D002"/>
      <sheetName val="D003"/>
      <sheetName val="D004"/>
      <sheetName val="D005"/>
      <sheetName val="D006"/>
      <sheetName val="D007"/>
      <sheetName val="D008"/>
      <sheetName val="D009"/>
      <sheetName val="D010"/>
      <sheetName val="D011"/>
      <sheetName val="D012"/>
      <sheetName val="D013"/>
      <sheetName val="D014"/>
      <sheetName val="D015"/>
      <sheetName val="D016"/>
      <sheetName val="D017"/>
      <sheetName val="D018"/>
      <sheetName val="D019"/>
      <sheetName val="D020"/>
      <sheetName val="D021"/>
      <sheetName val="D022"/>
      <sheetName val="D023"/>
      <sheetName val="D024"/>
      <sheetName val="D025"/>
      <sheetName val="D026"/>
      <sheetName val="D027"/>
      <sheetName val="D028"/>
      <sheetName val="D029"/>
      <sheetName val="D030"/>
      <sheetName val="D031"/>
      <sheetName val="D032"/>
      <sheetName val="D033"/>
      <sheetName val="D034"/>
      <sheetName val="D035"/>
      <sheetName val="D036"/>
      <sheetName val="D037"/>
      <sheetName val="D038"/>
      <sheetName val="D039"/>
      <sheetName val="D040"/>
      <sheetName val="D041"/>
      <sheetName val="D042"/>
      <sheetName val="D043"/>
      <sheetName val="D044"/>
      <sheetName val="D045"/>
      <sheetName val="D046"/>
      <sheetName val="D047"/>
      <sheetName val="D048"/>
      <sheetName val="D049"/>
      <sheetName val="D050"/>
      <sheetName val="D05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>
            <v>1</v>
          </cell>
          <cell r="B5" t="str">
            <v>María Eugenia de Lemaitre</v>
          </cell>
          <cell r="C5">
            <v>1</v>
          </cell>
          <cell r="D5">
            <v>0</v>
          </cell>
          <cell r="E5">
            <v>1</v>
          </cell>
          <cell r="F5">
            <v>2</v>
          </cell>
          <cell r="G5">
            <v>1</v>
          </cell>
          <cell r="H5">
            <v>2</v>
          </cell>
          <cell r="I5">
            <v>0</v>
          </cell>
          <cell r="J5">
            <v>0</v>
          </cell>
          <cell r="K5">
            <v>2</v>
          </cell>
          <cell r="L5">
            <v>1</v>
          </cell>
          <cell r="M5">
            <v>2</v>
          </cell>
          <cell r="N5">
            <v>0</v>
          </cell>
          <cell r="O5">
            <v>1</v>
          </cell>
          <cell r="P5">
            <v>0</v>
          </cell>
          <cell r="Q5">
            <v>3</v>
          </cell>
          <cell r="R5">
            <v>1</v>
          </cell>
          <cell r="S5">
            <v>2</v>
          </cell>
          <cell r="T5">
            <v>0</v>
          </cell>
          <cell r="U5">
            <v>2</v>
          </cell>
          <cell r="V5">
            <v>0</v>
          </cell>
          <cell r="W5">
            <v>2</v>
          </cell>
          <cell r="X5">
            <v>1</v>
          </cell>
          <cell r="Y5">
            <v>2</v>
          </cell>
          <cell r="Z5">
            <v>1</v>
          </cell>
          <cell r="AA5">
            <v>2</v>
          </cell>
          <cell r="AB5">
            <v>0</v>
          </cell>
          <cell r="AC5">
            <v>0</v>
          </cell>
          <cell r="AD5">
            <v>1</v>
          </cell>
          <cell r="AE5">
            <v>1</v>
          </cell>
          <cell r="AF5">
            <v>0</v>
          </cell>
          <cell r="AG5">
            <v>2</v>
          </cell>
          <cell r="AH5">
            <v>1</v>
          </cell>
          <cell r="AI5">
            <v>1</v>
          </cell>
          <cell r="AJ5">
            <v>1</v>
          </cell>
          <cell r="AK5">
            <v>2</v>
          </cell>
          <cell r="AL5">
            <v>0</v>
          </cell>
          <cell r="AM5">
            <v>2</v>
          </cell>
          <cell r="AN5">
            <v>1</v>
          </cell>
          <cell r="AO5">
            <v>1</v>
          </cell>
          <cell r="AP5">
            <v>3</v>
          </cell>
          <cell r="AQ5">
            <v>1</v>
          </cell>
          <cell r="AR5">
            <v>1</v>
          </cell>
          <cell r="AS5">
            <v>0</v>
          </cell>
          <cell r="AT5">
            <v>0</v>
          </cell>
          <cell r="AU5">
            <v>2</v>
          </cell>
          <cell r="AV5">
            <v>2</v>
          </cell>
          <cell r="AW5">
            <v>2</v>
          </cell>
          <cell r="AX5">
            <v>1</v>
          </cell>
          <cell r="AY5">
            <v>0</v>
          </cell>
          <cell r="AZ5">
            <v>0</v>
          </cell>
          <cell r="BA5">
            <v>0</v>
          </cell>
          <cell r="BB5">
            <v>1</v>
          </cell>
          <cell r="BC5">
            <v>3</v>
          </cell>
          <cell r="BD5">
            <v>1</v>
          </cell>
          <cell r="BE5">
            <v>2</v>
          </cell>
          <cell r="BF5">
            <v>0</v>
          </cell>
          <cell r="BG5">
            <v>1</v>
          </cell>
          <cell r="BH5">
            <v>3</v>
          </cell>
          <cell r="BI5">
            <v>3</v>
          </cell>
          <cell r="BJ5">
            <v>0</v>
          </cell>
          <cell r="BK5">
            <v>0</v>
          </cell>
          <cell r="BL5">
            <v>0</v>
          </cell>
          <cell r="BM5">
            <v>1</v>
          </cell>
          <cell r="BN5">
            <v>2</v>
          </cell>
          <cell r="BO5">
            <v>2</v>
          </cell>
          <cell r="BP5">
            <v>1</v>
          </cell>
          <cell r="BQ5">
            <v>2</v>
          </cell>
          <cell r="BR5">
            <v>2</v>
          </cell>
          <cell r="BS5">
            <v>2</v>
          </cell>
          <cell r="BT5">
            <v>1</v>
          </cell>
          <cell r="BU5">
            <v>0</v>
          </cell>
          <cell r="BV5">
            <v>2</v>
          </cell>
          <cell r="BW5">
            <v>0</v>
          </cell>
          <cell r="BX5">
            <v>2</v>
          </cell>
          <cell r="BY5">
            <v>1</v>
          </cell>
          <cell r="BZ5">
            <v>2</v>
          </cell>
          <cell r="CA5">
            <v>0</v>
          </cell>
          <cell r="CB5">
            <v>2</v>
          </cell>
          <cell r="CC5">
            <v>1</v>
          </cell>
          <cell r="CD5">
            <v>2</v>
          </cell>
          <cell r="CE5">
            <v>0</v>
          </cell>
          <cell r="CF5">
            <v>4</v>
          </cell>
          <cell r="CG5">
            <v>1</v>
          </cell>
          <cell r="CH5">
            <v>3</v>
          </cell>
          <cell r="CI5">
            <v>1</v>
          </cell>
          <cell r="CJ5">
            <v>2</v>
          </cell>
          <cell r="CK5">
            <v>2</v>
          </cell>
          <cell r="CL5">
            <v>1</v>
          </cell>
          <cell r="CM5">
            <v>1</v>
          </cell>
          <cell r="CN5">
            <v>1</v>
          </cell>
          <cell r="CO5">
            <v>0</v>
          </cell>
          <cell r="CP5">
            <v>2</v>
          </cell>
          <cell r="CQ5">
            <v>1</v>
          </cell>
          <cell r="CR5">
            <v>1</v>
          </cell>
          <cell r="CS5">
            <v>1</v>
          </cell>
          <cell r="CT5">
            <v>1</v>
          </cell>
          <cell r="CU5">
            <v>2</v>
          </cell>
          <cell r="CV5">
            <v>2</v>
          </cell>
          <cell r="CW5">
            <v>1</v>
          </cell>
          <cell r="CX5">
            <v>2</v>
          </cell>
          <cell r="CY5">
            <v>1</v>
          </cell>
          <cell r="CZ5">
            <v>0</v>
          </cell>
          <cell r="DA5">
            <v>2</v>
          </cell>
          <cell r="DB5">
            <v>1</v>
          </cell>
          <cell r="DC5">
            <v>2</v>
          </cell>
          <cell r="DD5">
            <v>1</v>
          </cell>
          <cell r="DE5">
            <v>1</v>
          </cell>
          <cell r="DF5">
            <v>0</v>
          </cell>
          <cell r="DG5">
            <v>3</v>
          </cell>
          <cell r="DH5">
            <v>2</v>
          </cell>
          <cell r="DI5">
            <v>0</v>
          </cell>
          <cell r="DJ5">
            <v>2</v>
          </cell>
          <cell r="DK5">
            <v>2</v>
          </cell>
          <cell r="DL5">
            <v>3</v>
          </cell>
          <cell r="DM5">
            <v>3</v>
          </cell>
          <cell r="DN5">
            <v>2</v>
          </cell>
          <cell r="DO5">
            <v>1</v>
          </cell>
          <cell r="DP5">
            <v>1</v>
          </cell>
          <cell r="DQ5">
            <v>2</v>
          </cell>
          <cell r="DR5">
            <v>1</v>
          </cell>
          <cell r="DS5">
            <v>2</v>
          </cell>
          <cell r="DT5">
            <v>1</v>
          </cell>
          <cell r="DU5">
            <v>1</v>
          </cell>
          <cell r="DV5">
            <v>1</v>
          </cell>
          <cell r="DW5">
            <v>2</v>
          </cell>
          <cell r="DX5">
            <v>1</v>
          </cell>
          <cell r="DY5">
            <v>1</v>
          </cell>
          <cell r="DZ5">
            <v>1</v>
          </cell>
        </row>
        <row r="6">
          <cell r="A6">
            <v>2</v>
          </cell>
          <cell r="B6" t="str">
            <v>Andres &amp; JuanB Harker</v>
          </cell>
          <cell r="C6">
            <v>2</v>
          </cell>
          <cell r="D6">
            <v>1</v>
          </cell>
          <cell r="E6">
            <v>1</v>
          </cell>
          <cell r="F6">
            <v>3</v>
          </cell>
          <cell r="G6">
            <v>0</v>
          </cell>
          <cell r="H6">
            <v>2</v>
          </cell>
          <cell r="I6">
            <v>1</v>
          </cell>
          <cell r="J6">
            <v>3</v>
          </cell>
          <cell r="K6">
            <v>3</v>
          </cell>
          <cell r="L6">
            <v>0</v>
          </cell>
          <cell r="M6">
            <v>2</v>
          </cell>
          <cell r="N6">
            <v>1</v>
          </cell>
          <cell r="O6">
            <v>2</v>
          </cell>
          <cell r="P6">
            <v>1</v>
          </cell>
          <cell r="Q6">
            <v>2</v>
          </cell>
          <cell r="R6">
            <v>1</v>
          </cell>
          <cell r="S6">
            <v>1</v>
          </cell>
          <cell r="T6">
            <v>1</v>
          </cell>
          <cell r="U6">
            <v>2</v>
          </cell>
          <cell r="V6">
            <v>2</v>
          </cell>
          <cell r="W6">
            <v>3</v>
          </cell>
          <cell r="X6">
            <v>0</v>
          </cell>
          <cell r="Y6">
            <v>2</v>
          </cell>
          <cell r="Z6">
            <v>1</v>
          </cell>
          <cell r="AA6">
            <v>3</v>
          </cell>
          <cell r="AB6">
            <v>0</v>
          </cell>
          <cell r="AC6">
            <v>0</v>
          </cell>
          <cell r="AD6">
            <v>4</v>
          </cell>
          <cell r="AE6">
            <v>2</v>
          </cell>
          <cell r="AF6">
            <v>2</v>
          </cell>
          <cell r="AG6">
            <v>2</v>
          </cell>
          <cell r="AH6">
            <v>0</v>
          </cell>
          <cell r="AI6">
            <v>1</v>
          </cell>
          <cell r="AJ6">
            <v>2</v>
          </cell>
          <cell r="AK6">
            <v>3</v>
          </cell>
          <cell r="AL6">
            <v>1</v>
          </cell>
          <cell r="AM6">
            <v>3</v>
          </cell>
          <cell r="AN6">
            <v>0</v>
          </cell>
          <cell r="AO6">
            <v>1</v>
          </cell>
          <cell r="AP6">
            <v>4</v>
          </cell>
          <cell r="AQ6">
            <v>1</v>
          </cell>
          <cell r="AR6">
            <v>1</v>
          </cell>
          <cell r="AS6">
            <v>2</v>
          </cell>
          <cell r="AT6">
            <v>0</v>
          </cell>
          <cell r="AU6">
            <v>3</v>
          </cell>
          <cell r="AV6">
            <v>0</v>
          </cell>
          <cell r="AW6">
            <v>3</v>
          </cell>
          <cell r="AX6">
            <v>0</v>
          </cell>
          <cell r="AY6">
            <v>1</v>
          </cell>
          <cell r="AZ6">
            <v>1</v>
          </cell>
          <cell r="BA6">
            <v>1</v>
          </cell>
          <cell r="BB6">
            <v>1</v>
          </cell>
          <cell r="BC6">
            <v>3</v>
          </cell>
          <cell r="BD6">
            <v>0</v>
          </cell>
          <cell r="BE6">
            <v>3</v>
          </cell>
          <cell r="BF6">
            <v>1</v>
          </cell>
          <cell r="BG6">
            <v>0</v>
          </cell>
          <cell r="BH6">
            <v>2</v>
          </cell>
          <cell r="BI6">
            <v>3</v>
          </cell>
          <cell r="BJ6">
            <v>1</v>
          </cell>
          <cell r="BK6">
            <v>1</v>
          </cell>
          <cell r="BL6">
            <v>2</v>
          </cell>
          <cell r="BM6">
            <v>1</v>
          </cell>
          <cell r="BN6">
            <v>3</v>
          </cell>
          <cell r="BO6">
            <v>2</v>
          </cell>
          <cell r="BP6">
            <v>1</v>
          </cell>
          <cell r="BQ6">
            <v>1</v>
          </cell>
          <cell r="BR6">
            <v>2</v>
          </cell>
          <cell r="BS6">
            <v>3</v>
          </cell>
          <cell r="BT6">
            <v>0</v>
          </cell>
          <cell r="BU6">
            <v>1</v>
          </cell>
          <cell r="BV6">
            <v>2</v>
          </cell>
          <cell r="BW6">
            <v>1</v>
          </cell>
          <cell r="BX6">
            <v>3</v>
          </cell>
          <cell r="BY6">
            <v>1</v>
          </cell>
          <cell r="BZ6">
            <v>2</v>
          </cell>
          <cell r="CA6">
            <v>0</v>
          </cell>
          <cell r="CB6">
            <v>1</v>
          </cell>
          <cell r="CC6">
            <v>1</v>
          </cell>
          <cell r="CD6">
            <v>1</v>
          </cell>
          <cell r="CE6">
            <v>0</v>
          </cell>
          <cell r="CF6">
            <v>3</v>
          </cell>
          <cell r="CG6">
            <v>2</v>
          </cell>
          <cell r="CH6">
            <v>2</v>
          </cell>
          <cell r="CI6">
            <v>0</v>
          </cell>
          <cell r="CJ6">
            <v>3</v>
          </cell>
          <cell r="CK6">
            <v>1</v>
          </cell>
          <cell r="CL6">
            <v>2</v>
          </cell>
          <cell r="CM6">
            <v>1</v>
          </cell>
          <cell r="CN6">
            <v>1</v>
          </cell>
          <cell r="CO6">
            <v>2</v>
          </cell>
          <cell r="CP6">
            <v>2</v>
          </cell>
          <cell r="CQ6">
            <v>1</v>
          </cell>
          <cell r="CR6">
            <v>2</v>
          </cell>
          <cell r="CS6">
            <v>2</v>
          </cell>
          <cell r="CT6">
            <v>1</v>
          </cell>
          <cell r="CU6">
            <v>2</v>
          </cell>
          <cell r="CV6">
            <v>1</v>
          </cell>
          <cell r="CW6">
            <v>2</v>
          </cell>
          <cell r="CX6">
            <v>0</v>
          </cell>
          <cell r="CY6">
            <v>3</v>
          </cell>
          <cell r="CZ6">
            <v>0</v>
          </cell>
          <cell r="DA6">
            <v>2</v>
          </cell>
          <cell r="DB6">
            <v>1</v>
          </cell>
          <cell r="DC6">
            <v>3</v>
          </cell>
          <cell r="DD6">
            <v>1</v>
          </cell>
          <cell r="DE6">
            <v>2</v>
          </cell>
          <cell r="DF6">
            <v>1</v>
          </cell>
          <cell r="DG6">
            <v>3</v>
          </cell>
          <cell r="DH6">
            <v>0</v>
          </cell>
          <cell r="DI6">
            <v>2</v>
          </cell>
          <cell r="DJ6">
            <v>2</v>
          </cell>
          <cell r="DK6">
            <v>0</v>
          </cell>
          <cell r="DL6">
            <v>1</v>
          </cell>
          <cell r="DM6">
            <v>2</v>
          </cell>
          <cell r="DN6">
            <v>0</v>
          </cell>
          <cell r="DO6">
            <v>2</v>
          </cell>
          <cell r="DP6">
            <v>0</v>
          </cell>
          <cell r="DQ6">
            <v>2</v>
          </cell>
          <cell r="DR6">
            <v>1</v>
          </cell>
          <cell r="DS6">
            <v>1</v>
          </cell>
          <cell r="DT6">
            <v>1</v>
          </cell>
          <cell r="DU6">
            <v>1</v>
          </cell>
          <cell r="DV6">
            <v>2</v>
          </cell>
          <cell r="DW6">
            <v>0</v>
          </cell>
          <cell r="DX6">
            <v>1</v>
          </cell>
          <cell r="DY6">
            <v>1</v>
          </cell>
          <cell r="DZ6">
            <v>1</v>
          </cell>
        </row>
        <row r="7">
          <cell r="A7">
            <v>3</v>
          </cell>
          <cell r="B7" t="str">
            <v>Alexandra &amp; Camilo</v>
          </cell>
          <cell r="C7">
            <v>2</v>
          </cell>
          <cell r="D7">
            <v>0</v>
          </cell>
          <cell r="E7">
            <v>0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3</v>
          </cell>
          <cell r="K7">
            <v>2</v>
          </cell>
          <cell r="L7">
            <v>1</v>
          </cell>
          <cell r="M7">
            <v>3</v>
          </cell>
          <cell r="N7">
            <v>0</v>
          </cell>
          <cell r="O7">
            <v>2</v>
          </cell>
          <cell r="P7">
            <v>1</v>
          </cell>
          <cell r="Q7">
            <v>2</v>
          </cell>
          <cell r="R7">
            <v>1</v>
          </cell>
          <cell r="S7">
            <v>1</v>
          </cell>
          <cell r="T7">
            <v>0</v>
          </cell>
          <cell r="U7">
            <v>2</v>
          </cell>
          <cell r="V7">
            <v>1</v>
          </cell>
          <cell r="W7">
            <v>3</v>
          </cell>
          <cell r="X7">
            <v>0</v>
          </cell>
          <cell r="Y7">
            <v>1</v>
          </cell>
          <cell r="Z7">
            <v>1</v>
          </cell>
          <cell r="AA7">
            <v>2</v>
          </cell>
          <cell r="AB7">
            <v>0</v>
          </cell>
          <cell r="AC7">
            <v>0</v>
          </cell>
          <cell r="AD7">
            <v>1</v>
          </cell>
          <cell r="AE7">
            <v>2</v>
          </cell>
          <cell r="AF7">
            <v>0</v>
          </cell>
          <cell r="AG7">
            <v>1</v>
          </cell>
          <cell r="AH7">
            <v>0</v>
          </cell>
          <cell r="AI7">
            <v>1</v>
          </cell>
          <cell r="AJ7">
            <v>1</v>
          </cell>
          <cell r="AK7">
            <v>2</v>
          </cell>
          <cell r="AL7">
            <v>0</v>
          </cell>
          <cell r="AM7">
            <v>3</v>
          </cell>
          <cell r="AN7">
            <v>0</v>
          </cell>
          <cell r="AO7">
            <v>0</v>
          </cell>
          <cell r="AP7">
            <v>4</v>
          </cell>
          <cell r="AQ7">
            <v>1</v>
          </cell>
          <cell r="AR7">
            <v>1</v>
          </cell>
          <cell r="AS7">
            <v>2</v>
          </cell>
          <cell r="AT7">
            <v>2</v>
          </cell>
          <cell r="AU7">
            <v>2</v>
          </cell>
          <cell r="AV7">
            <v>1</v>
          </cell>
          <cell r="AW7">
            <v>3</v>
          </cell>
          <cell r="AX7">
            <v>1</v>
          </cell>
          <cell r="AY7">
            <v>0</v>
          </cell>
          <cell r="AZ7">
            <v>1</v>
          </cell>
          <cell r="BA7">
            <v>0</v>
          </cell>
          <cell r="BB7">
            <v>1</v>
          </cell>
          <cell r="BC7">
            <v>3</v>
          </cell>
          <cell r="BD7">
            <v>1</v>
          </cell>
          <cell r="BE7">
            <v>2</v>
          </cell>
          <cell r="BF7">
            <v>0</v>
          </cell>
          <cell r="BG7">
            <v>1</v>
          </cell>
          <cell r="BH7">
            <v>2</v>
          </cell>
          <cell r="BI7">
            <v>2</v>
          </cell>
          <cell r="BJ7">
            <v>1</v>
          </cell>
          <cell r="BK7">
            <v>1</v>
          </cell>
          <cell r="BL7">
            <v>1</v>
          </cell>
          <cell r="BM7">
            <v>2</v>
          </cell>
          <cell r="BN7">
            <v>2</v>
          </cell>
          <cell r="BO7">
            <v>2</v>
          </cell>
          <cell r="BP7">
            <v>0</v>
          </cell>
          <cell r="BQ7">
            <v>0</v>
          </cell>
          <cell r="BR7">
            <v>0</v>
          </cell>
          <cell r="BS7">
            <v>2</v>
          </cell>
          <cell r="BT7">
            <v>0</v>
          </cell>
          <cell r="BU7">
            <v>1</v>
          </cell>
          <cell r="BV7">
            <v>2</v>
          </cell>
          <cell r="BW7">
            <v>0</v>
          </cell>
          <cell r="BX7">
            <v>2</v>
          </cell>
          <cell r="BY7">
            <v>0</v>
          </cell>
          <cell r="BZ7">
            <v>1</v>
          </cell>
          <cell r="CA7">
            <v>1</v>
          </cell>
          <cell r="CB7">
            <v>1</v>
          </cell>
          <cell r="CC7">
            <v>1</v>
          </cell>
          <cell r="CD7">
            <v>3</v>
          </cell>
          <cell r="CE7">
            <v>1</v>
          </cell>
          <cell r="CF7">
            <v>3</v>
          </cell>
          <cell r="CG7">
            <v>1</v>
          </cell>
          <cell r="CH7">
            <v>1</v>
          </cell>
          <cell r="CI7">
            <v>1</v>
          </cell>
          <cell r="CJ7">
            <v>2</v>
          </cell>
          <cell r="CK7">
            <v>1</v>
          </cell>
          <cell r="CL7">
            <v>1</v>
          </cell>
          <cell r="CM7">
            <v>1</v>
          </cell>
          <cell r="CN7">
            <v>2</v>
          </cell>
          <cell r="CO7">
            <v>1</v>
          </cell>
          <cell r="CP7">
            <v>2</v>
          </cell>
          <cell r="CQ7">
            <v>0</v>
          </cell>
          <cell r="CR7">
            <v>1</v>
          </cell>
          <cell r="CS7">
            <v>1</v>
          </cell>
          <cell r="CT7">
            <v>0</v>
          </cell>
          <cell r="CU7">
            <v>3</v>
          </cell>
          <cell r="CV7">
            <v>0</v>
          </cell>
          <cell r="CW7">
            <v>1</v>
          </cell>
          <cell r="CX7">
            <v>2</v>
          </cell>
          <cell r="CY7">
            <v>4</v>
          </cell>
          <cell r="CZ7">
            <v>1</v>
          </cell>
          <cell r="DA7">
            <v>2</v>
          </cell>
          <cell r="DB7">
            <v>1</v>
          </cell>
          <cell r="DC7">
            <v>4</v>
          </cell>
          <cell r="DD7">
            <v>1</v>
          </cell>
          <cell r="DE7">
            <v>1</v>
          </cell>
          <cell r="DF7">
            <v>2</v>
          </cell>
          <cell r="DG7">
            <v>4</v>
          </cell>
          <cell r="DH7">
            <v>0</v>
          </cell>
          <cell r="DI7">
            <v>2</v>
          </cell>
          <cell r="DJ7">
            <v>1</v>
          </cell>
          <cell r="DK7">
            <v>3</v>
          </cell>
          <cell r="DL7">
            <v>1</v>
          </cell>
          <cell r="DM7">
            <v>2</v>
          </cell>
          <cell r="DN7">
            <v>1</v>
          </cell>
          <cell r="DO7">
            <v>1</v>
          </cell>
          <cell r="DP7">
            <v>0</v>
          </cell>
          <cell r="DQ7">
            <v>1</v>
          </cell>
          <cell r="DR7">
            <v>2</v>
          </cell>
          <cell r="DS7">
            <v>1</v>
          </cell>
          <cell r="DT7">
            <v>3</v>
          </cell>
          <cell r="DU7">
            <v>0</v>
          </cell>
          <cell r="DV7">
            <v>1</v>
          </cell>
          <cell r="DW7">
            <v>1</v>
          </cell>
          <cell r="DX7">
            <v>2</v>
          </cell>
          <cell r="DY7">
            <v>0</v>
          </cell>
          <cell r="DZ7">
            <v>1</v>
          </cell>
        </row>
        <row r="8">
          <cell r="A8">
            <v>4</v>
          </cell>
          <cell r="B8" t="str">
            <v>Pierre &amp; Magdalena</v>
          </cell>
          <cell r="C8">
            <v>2</v>
          </cell>
          <cell r="D8">
            <v>1</v>
          </cell>
          <cell r="E8">
            <v>0</v>
          </cell>
          <cell r="F8">
            <v>1</v>
          </cell>
          <cell r="G8">
            <v>2</v>
          </cell>
          <cell r="H8">
            <v>3</v>
          </cell>
          <cell r="I8">
            <v>2</v>
          </cell>
          <cell r="J8">
            <v>3</v>
          </cell>
          <cell r="K8">
            <v>4</v>
          </cell>
          <cell r="L8">
            <v>0</v>
          </cell>
          <cell r="M8">
            <v>2</v>
          </cell>
          <cell r="N8">
            <v>0</v>
          </cell>
          <cell r="O8">
            <v>2</v>
          </cell>
          <cell r="P8">
            <v>1</v>
          </cell>
          <cell r="Q8">
            <v>1</v>
          </cell>
          <cell r="R8">
            <v>2</v>
          </cell>
          <cell r="S8">
            <v>3</v>
          </cell>
          <cell r="T8">
            <v>1</v>
          </cell>
          <cell r="U8">
            <v>2</v>
          </cell>
          <cell r="V8">
            <v>1</v>
          </cell>
          <cell r="W8">
            <v>4</v>
          </cell>
          <cell r="X8">
            <v>0</v>
          </cell>
          <cell r="Y8">
            <v>1</v>
          </cell>
          <cell r="Z8">
            <v>0</v>
          </cell>
          <cell r="AA8">
            <v>2</v>
          </cell>
          <cell r="AB8">
            <v>0</v>
          </cell>
          <cell r="AC8">
            <v>1</v>
          </cell>
          <cell r="AD8">
            <v>2</v>
          </cell>
          <cell r="AE8">
            <v>0</v>
          </cell>
          <cell r="AF8">
            <v>0</v>
          </cell>
          <cell r="AG8">
            <v>2</v>
          </cell>
          <cell r="AH8">
            <v>1</v>
          </cell>
          <cell r="AI8">
            <v>3</v>
          </cell>
          <cell r="AJ8">
            <v>1</v>
          </cell>
          <cell r="AK8">
            <v>5</v>
          </cell>
          <cell r="AL8">
            <v>0</v>
          </cell>
          <cell r="AM8">
            <v>1</v>
          </cell>
          <cell r="AN8">
            <v>1</v>
          </cell>
          <cell r="AO8">
            <v>1</v>
          </cell>
          <cell r="AP8">
            <v>3</v>
          </cell>
          <cell r="AQ8">
            <v>3</v>
          </cell>
          <cell r="AR8">
            <v>1</v>
          </cell>
          <cell r="AS8">
            <v>1</v>
          </cell>
          <cell r="AT8">
            <v>1</v>
          </cell>
          <cell r="AU8">
            <v>2</v>
          </cell>
          <cell r="AV8">
            <v>1</v>
          </cell>
          <cell r="AW8">
            <v>2</v>
          </cell>
          <cell r="AX8">
            <v>1</v>
          </cell>
          <cell r="AY8">
            <v>3</v>
          </cell>
          <cell r="AZ8">
            <v>1</v>
          </cell>
          <cell r="BA8">
            <v>0</v>
          </cell>
          <cell r="BB8">
            <v>1</v>
          </cell>
          <cell r="BC8">
            <v>3</v>
          </cell>
          <cell r="BD8">
            <v>0</v>
          </cell>
          <cell r="BE8">
            <v>2</v>
          </cell>
          <cell r="BF8">
            <v>0</v>
          </cell>
          <cell r="BG8">
            <v>1</v>
          </cell>
          <cell r="BH8">
            <v>1</v>
          </cell>
          <cell r="BI8">
            <v>2</v>
          </cell>
          <cell r="BJ8">
            <v>1</v>
          </cell>
          <cell r="BK8">
            <v>1</v>
          </cell>
          <cell r="BL8">
            <v>0</v>
          </cell>
          <cell r="BM8">
            <v>1</v>
          </cell>
          <cell r="BN8">
            <v>2</v>
          </cell>
          <cell r="BO8">
            <v>2</v>
          </cell>
          <cell r="BP8">
            <v>0</v>
          </cell>
          <cell r="BQ8">
            <v>2</v>
          </cell>
          <cell r="BR8">
            <v>1</v>
          </cell>
          <cell r="BS8">
            <v>3</v>
          </cell>
          <cell r="BT8">
            <v>0</v>
          </cell>
          <cell r="BU8">
            <v>1</v>
          </cell>
          <cell r="BV8">
            <v>3</v>
          </cell>
          <cell r="BW8">
            <v>1</v>
          </cell>
          <cell r="BX8">
            <v>2</v>
          </cell>
          <cell r="BY8">
            <v>0</v>
          </cell>
          <cell r="BZ8">
            <v>1</v>
          </cell>
          <cell r="CA8">
            <v>0</v>
          </cell>
          <cell r="CB8">
            <v>1</v>
          </cell>
          <cell r="CC8">
            <v>1</v>
          </cell>
          <cell r="CD8">
            <v>1</v>
          </cell>
          <cell r="CE8">
            <v>0</v>
          </cell>
          <cell r="CF8">
            <v>3</v>
          </cell>
          <cell r="CG8">
            <v>1</v>
          </cell>
          <cell r="CH8">
            <v>0</v>
          </cell>
          <cell r="CI8">
            <v>0</v>
          </cell>
          <cell r="CJ8">
            <v>2</v>
          </cell>
          <cell r="CK8">
            <v>1</v>
          </cell>
          <cell r="CL8">
            <v>1</v>
          </cell>
          <cell r="CM8">
            <v>1</v>
          </cell>
          <cell r="CN8">
            <v>2</v>
          </cell>
          <cell r="CO8">
            <v>1</v>
          </cell>
          <cell r="CP8">
            <v>2</v>
          </cell>
          <cell r="CQ8">
            <v>1</v>
          </cell>
          <cell r="CR8">
            <v>1</v>
          </cell>
          <cell r="CS8">
            <v>1</v>
          </cell>
          <cell r="CT8">
            <v>1</v>
          </cell>
          <cell r="CU8">
            <v>3</v>
          </cell>
          <cell r="CV8">
            <v>1</v>
          </cell>
          <cell r="CW8">
            <v>1</v>
          </cell>
          <cell r="CX8">
            <v>2</v>
          </cell>
          <cell r="CY8">
            <v>2</v>
          </cell>
          <cell r="CZ8">
            <v>0</v>
          </cell>
          <cell r="DA8">
            <v>2</v>
          </cell>
          <cell r="DB8">
            <v>1</v>
          </cell>
          <cell r="DC8">
            <v>3</v>
          </cell>
          <cell r="DD8">
            <v>1</v>
          </cell>
          <cell r="DE8">
            <v>1</v>
          </cell>
          <cell r="DF8">
            <v>0</v>
          </cell>
          <cell r="DG8">
            <v>2</v>
          </cell>
          <cell r="DH8">
            <v>0</v>
          </cell>
          <cell r="DI8">
            <v>2</v>
          </cell>
          <cell r="DJ8">
            <v>1</v>
          </cell>
          <cell r="DK8">
            <v>1</v>
          </cell>
          <cell r="DL8">
            <v>0</v>
          </cell>
          <cell r="DM8">
            <v>2</v>
          </cell>
          <cell r="DN8">
            <v>1</v>
          </cell>
          <cell r="DO8">
            <v>1</v>
          </cell>
          <cell r="DP8">
            <v>0</v>
          </cell>
          <cell r="DQ8">
            <v>2</v>
          </cell>
          <cell r="DR8">
            <v>1</v>
          </cell>
          <cell r="DS8">
            <v>1</v>
          </cell>
          <cell r="DT8">
            <v>2</v>
          </cell>
          <cell r="DU8">
            <v>3</v>
          </cell>
          <cell r="DV8">
            <v>1</v>
          </cell>
          <cell r="DW8">
            <v>1</v>
          </cell>
          <cell r="DX8">
            <v>1</v>
          </cell>
          <cell r="DY8">
            <v>2</v>
          </cell>
          <cell r="DZ8">
            <v>1</v>
          </cell>
        </row>
        <row r="9">
          <cell r="A9">
            <v>5</v>
          </cell>
          <cell r="B9" t="str">
            <v>Fernando Yañez</v>
          </cell>
          <cell r="C9">
            <v>3</v>
          </cell>
          <cell r="D9">
            <v>1</v>
          </cell>
          <cell r="E9">
            <v>1</v>
          </cell>
          <cell r="F9">
            <v>2</v>
          </cell>
          <cell r="G9">
            <v>2</v>
          </cell>
          <cell r="H9">
            <v>1</v>
          </cell>
          <cell r="I9">
            <v>2</v>
          </cell>
          <cell r="J9">
            <v>1</v>
          </cell>
          <cell r="K9">
            <v>2</v>
          </cell>
          <cell r="L9">
            <v>0</v>
          </cell>
          <cell r="M9">
            <v>2</v>
          </cell>
          <cell r="N9">
            <v>0</v>
          </cell>
          <cell r="O9">
            <v>1</v>
          </cell>
          <cell r="P9">
            <v>0</v>
          </cell>
          <cell r="Q9">
            <v>2</v>
          </cell>
          <cell r="R9">
            <v>0</v>
          </cell>
          <cell r="S9">
            <v>1</v>
          </cell>
          <cell r="T9">
            <v>1</v>
          </cell>
          <cell r="U9">
            <v>3</v>
          </cell>
          <cell r="V9">
            <v>1</v>
          </cell>
          <cell r="W9">
            <v>2</v>
          </cell>
          <cell r="X9">
            <v>0</v>
          </cell>
          <cell r="Y9">
            <v>2</v>
          </cell>
          <cell r="Z9">
            <v>0</v>
          </cell>
          <cell r="AA9">
            <v>1</v>
          </cell>
          <cell r="AB9">
            <v>0</v>
          </cell>
          <cell r="AC9">
            <v>0</v>
          </cell>
          <cell r="AD9">
            <v>3</v>
          </cell>
          <cell r="AE9">
            <v>0</v>
          </cell>
          <cell r="AF9">
            <v>0</v>
          </cell>
          <cell r="AG9">
            <v>2</v>
          </cell>
          <cell r="AH9">
            <v>1</v>
          </cell>
          <cell r="AI9">
            <v>1</v>
          </cell>
          <cell r="AJ9">
            <v>1</v>
          </cell>
          <cell r="AK9">
            <v>3</v>
          </cell>
          <cell r="AL9">
            <v>0</v>
          </cell>
          <cell r="AM9">
            <v>3</v>
          </cell>
          <cell r="AN9">
            <v>0</v>
          </cell>
          <cell r="AO9">
            <v>0</v>
          </cell>
          <cell r="AP9">
            <v>2</v>
          </cell>
          <cell r="AQ9">
            <v>1</v>
          </cell>
          <cell r="AR9">
            <v>1</v>
          </cell>
          <cell r="AS9">
            <v>2</v>
          </cell>
          <cell r="AT9">
            <v>0</v>
          </cell>
          <cell r="AU9">
            <v>1</v>
          </cell>
          <cell r="AV9">
            <v>1</v>
          </cell>
          <cell r="AW9">
            <v>3</v>
          </cell>
          <cell r="AX9">
            <v>0</v>
          </cell>
          <cell r="AY9">
            <v>1</v>
          </cell>
          <cell r="AZ9">
            <v>0</v>
          </cell>
          <cell r="BA9">
            <v>1</v>
          </cell>
          <cell r="BB9">
            <v>1</v>
          </cell>
          <cell r="BC9">
            <v>2</v>
          </cell>
          <cell r="BD9">
            <v>1</v>
          </cell>
          <cell r="BE9">
            <v>2</v>
          </cell>
          <cell r="BF9">
            <v>0</v>
          </cell>
          <cell r="BG9">
            <v>1</v>
          </cell>
          <cell r="BH9">
            <v>0</v>
          </cell>
          <cell r="BI9">
            <v>3</v>
          </cell>
          <cell r="BJ9">
            <v>1</v>
          </cell>
          <cell r="BK9">
            <v>1</v>
          </cell>
          <cell r="BL9">
            <v>1</v>
          </cell>
          <cell r="BM9">
            <v>1</v>
          </cell>
          <cell r="BN9">
            <v>3</v>
          </cell>
          <cell r="BO9">
            <v>2</v>
          </cell>
          <cell r="BP9">
            <v>1</v>
          </cell>
          <cell r="BQ9">
            <v>1</v>
          </cell>
          <cell r="BR9">
            <v>1</v>
          </cell>
          <cell r="BS9">
            <v>2</v>
          </cell>
          <cell r="BT9">
            <v>1</v>
          </cell>
          <cell r="BU9">
            <v>1</v>
          </cell>
          <cell r="BV9">
            <v>2</v>
          </cell>
          <cell r="BW9">
            <v>1</v>
          </cell>
          <cell r="BX9">
            <v>3</v>
          </cell>
          <cell r="BY9">
            <v>1</v>
          </cell>
          <cell r="BZ9">
            <v>2</v>
          </cell>
          <cell r="CA9">
            <v>1</v>
          </cell>
          <cell r="CB9">
            <v>2</v>
          </cell>
          <cell r="CC9">
            <v>1</v>
          </cell>
          <cell r="CD9">
            <v>1</v>
          </cell>
          <cell r="CE9">
            <v>0</v>
          </cell>
          <cell r="CF9">
            <v>3</v>
          </cell>
          <cell r="CG9">
            <v>2</v>
          </cell>
          <cell r="CH9">
            <v>2</v>
          </cell>
          <cell r="CI9">
            <v>1</v>
          </cell>
          <cell r="CJ9">
            <v>3</v>
          </cell>
          <cell r="CK9">
            <v>2</v>
          </cell>
          <cell r="CL9">
            <v>1</v>
          </cell>
          <cell r="CM9">
            <v>1</v>
          </cell>
          <cell r="CN9">
            <v>2</v>
          </cell>
          <cell r="CO9">
            <v>1</v>
          </cell>
          <cell r="CP9">
            <v>3</v>
          </cell>
          <cell r="CQ9">
            <v>2</v>
          </cell>
          <cell r="CR9">
            <v>0</v>
          </cell>
          <cell r="CS9">
            <v>1</v>
          </cell>
          <cell r="CT9">
            <v>1</v>
          </cell>
          <cell r="CU9">
            <v>2</v>
          </cell>
          <cell r="CV9">
            <v>1</v>
          </cell>
          <cell r="CW9">
            <v>1</v>
          </cell>
          <cell r="CX9">
            <v>2</v>
          </cell>
          <cell r="CY9">
            <v>1</v>
          </cell>
          <cell r="CZ9">
            <v>0</v>
          </cell>
          <cell r="DA9">
            <v>2</v>
          </cell>
          <cell r="DB9">
            <v>0</v>
          </cell>
          <cell r="DC9">
            <v>3</v>
          </cell>
          <cell r="DD9">
            <v>1</v>
          </cell>
          <cell r="DE9">
            <v>1</v>
          </cell>
          <cell r="DF9">
            <v>0</v>
          </cell>
          <cell r="DG9">
            <v>3</v>
          </cell>
          <cell r="DH9">
            <v>0</v>
          </cell>
          <cell r="DI9">
            <v>2</v>
          </cell>
          <cell r="DJ9">
            <v>1</v>
          </cell>
          <cell r="DK9">
            <v>2</v>
          </cell>
          <cell r="DL9">
            <v>1</v>
          </cell>
          <cell r="DM9">
            <v>3</v>
          </cell>
          <cell r="DN9">
            <v>1</v>
          </cell>
          <cell r="DO9">
            <v>2</v>
          </cell>
          <cell r="DP9">
            <v>0</v>
          </cell>
          <cell r="DQ9">
            <v>1</v>
          </cell>
          <cell r="DR9">
            <v>0</v>
          </cell>
          <cell r="DS9">
            <v>1</v>
          </cell>
          <cell r="DT9">
            <v>2</v>
          </cell>
          <cell r="DU9">
            <v>2</v>
          </cell>
          <cell r="DV9">
            <v>0</v>
          </cell>
          <cell r="DW9">
            <v>1</v>
          </cell>
          <cell r="DX9">
            <v>0</v>
          </cell>
          <cell r="DY9">
            <v>2</v>
          </cell>
          <cell r="DZ9">
            <v>2</v>
          </cell>
        </row>
        <row r="10">
          <cell r="A10">
            <v>6</v>
          </cell>
          <cell r="B10" t="str">
            <v>Gonzalo Fonseca</v>
          </cell>
          <cell r="C10">
            <v>2</v>
          </cell>
          <cell r="D10">
            <v>1</v>
          </cell>
          <cell r="E10">
            <v>0</v>
          </cell>
          <cell r="F10">
            <v>2</v>
          </cell>
          <cell r="G10">
            <v>3</v>
          </cell>
          <cell r="H10">
            <v>1</v>
          </cell>
          <cell r="I10">
            <v>1</v>
          </cell>
          <cell r="J10">
            <v>3</v>
          </cell>
          <cell r="K10">
            <v>3</v>
          </cell>
          <cell r="L10">
            <v>0</v>
          </cell>
          <cell r="M10">
            <v>2</v>
          </cell>
          <cell r="N10">
            <v>1</v>
          </cell>
          <cell r="O10">
            <v>1</v>
          </cell>
          <cell r="P10">
            <v>1</v>
          </cell>
          <cell r="Q10">
            <v>2</v>
          </cell>
          <cell r="R10">
            <v>2</v>
          </cell>
          <cell r="S10">
            <v>1</v>
          </cell>
          <cell r="T10">
            <v>3</v>
          </cell>
          <cell r="U10">
            <v>3</v>
          </cell>
          <cell r="V10">
            <v>0</v>
          </cell>
          <cell r="W10">
            <v>2</v>
          </cell>
          <cell r="X10">
            <v>0</v>
          </cell>
          <cell r="Y10">
            <v>1</v>
          </cell>
          <cell r="Z10">
            <v>1</v>
          </cell>
          <cell r="AA10">
            <v>3</v>
          </cell>
          <cell r="AB10">
            <v>0</v>
          </cell>
          <cell r="AC10">
            <v>0</v>
          </cell>
          <cell r="AD10">
            <v>2</v>
          </cell>
          <cell r="AE10">
            <v>2</v>
          </cell>
          <cell r="AF10">
            <v>1</v>
          </cell>
          <cell r="AG10">
            <v>2</v>
          </cell>
          <cell r="AH10">
            <v>0</v>
          </cell>
          <cell r="AI10">
            <v>1</v>
          </cell>
          <cell r="AJ10">
            <v>1</v>
          </cell>
          <cell r="AK10">
            <v>2</v>
          </cell>
          <cell r="AL10">
            <v>0</v>
          </cell>
          <cell r="AM10">
            <v>2</v>
          </cell>
          <cell r="AN10">
            <v>1</v>
          </cell>
          <cell r="AO10">
            <v>1</v>
          </cell>
          <cell r="AP10">
            <v>3</v>
          </cell>
          <cell r="AQ10">
            <v>2</v>
          </cell>
          <cell r="AR10">
            <v>0</v>
          </cell>
          <cell r="AS10">
            <v>2</v>
          </cell>
          <cell r="AT10">
            <v>1</v>
          </cell>
          <cell r="AU10">
            <v>2</v>
          </cell>
          <cell r="AV10">
            <v>1</v>
          </cell>
          <cell r="AW10">
            <v>3</v>
          </cell>
          <cell r="AX10">
            <v>0</v>
          </cell>
          <cell r="AY10">
            <v>0</v>
          </cell>
          <cell r="AZ10">
            <v>1</v>
          </cell>
          <cell r="BA10">
            <v>1</v>
          </cell>
          <cell r="BB10">
            <v>2</v>
          </cell>
          <cell r="BC10">
            <v>2</v>
          </cell>
          <cell r="BD10">
            <v>0</v>
          </cell>
          <cell r="BE10">
            <v>2</v>
          </cell>
          <cell r="BF10">
            <v>1</v>
          </cell>
          <cell r="BG10">
            <v>2</v>
          </cell>
          <cell r="BH10">
            <v>1</v>
          </cell>
          <cell r="BI10">
            <v>3</v>
          </cell>
          <cell r="BJ10">
            <v>1</v>
          </cell>
          <cell r="BK10">
            <v>1</v>
          </cell>
          <cell r="BL10">
            <v>1</v>
          </cell>
          <cell r="BM10">
            <v>1</v>
          </cell>
          <cell r="BN10">
            <v>2</v>
          </cell>
          <cell r="BO10">
            <v>1</v>
          </cell>
          <cell r="BP10">
            <v>0</v>
          </cell>
          <cell r="BQ10">
            <v>2</v>
          </cell>
          <cell r="BR10">
            <v>1</v>
          </cell>
          <cell r="BS10">
            <v>2</v>
          </cell>
          <cell r="BT10">
            <v>0</v>
          </cell>
          <cell r="BU10">
            <v>1</v>
          </cell>
          <cell r="BV10">
            <v>2</v>
          </cell>
          <cell r="BW10">
            <v>1</v>
          </cell>
          <cell r="BX10">
            <v>3</v>
          </cell>
          <cell r="BY10">
            <v>1</v>
          </cell>
          <cell r="BZ10">
            <v>2</v>
          </cell>
          <cell r="CA10">
            <v>1</v>
          </cell>
          <cell r="CB10">
            <v>1</v>
          </cell>
          <cell r="CC10">
            <v>1</v>
          </cell>
          <cell r="CD10">
            <v>2</v>
          </cell>
          <cell r="CE10">
            <v>1</v>
          </cell>
          <cell r="CF10">
            <v>2</v>
          </cell>
          <cell r="CG10">
            <v>1</v>
          </cell>
          <cell r="CH10">
            <v>0</v>
          </cell>
          <cell r="CI10">
            <v>0</v>
          </cell>
          <cell r="CJ10">
            <v>3</v>
          </cell>
          <cell r="CK10">
            <v>2</v>
          </cell>
          <cell r="CL10">
            <v>0</v>
          </cell>
          <cell r="CM10">
            <v>0</v>
          </cell>
          <cell r="CN10">
            <v>1</v>
          </cell>
          <cell r="CO10">
            <v>1</v>
          </cell>
          <cell r="CP10">
            <v>3</v>
          </cell>
          <cell r="CQ10">
            <v>2</v>
          </cell>
          <cell r="CR10">
            <v>2</v>
          </cell>
          <cell r="CS10">
            <v>1</v>
          </cell>
          <cell r="CT10">
            <v>1</v>
          </cell>
          <cell r="CU10">
            <v>3</v>
          </cell>
          <cell r="CV10">
            <v>0</v>
          </cell>
          <cell r="CW10">
            <v>2</v>
          </cell>
          <cell r="CX10">
            <v>1</v>
          </cell>
          <cell r="CY10">
            <v>3</v>
          </cell>
          <cell r="CZ10">
            <v>0</v>
          </cell>
          <cell r="DA10">
            <v>3</v>
          </cell>
          <cell r="DB10">
            <v>1</v>
          </cell>
          <cell r="DC10">
            <v>3</v>
          </cell>
          <cell r="DD10">
            <v>0</v>
          </cell>
          <cell r="DE10">
            <v>2</v>
          </cell>
          <cell r="DF10">
            <v>1</v>
          </cell>
          <cell r="DG10">
            <v>4</v>
          </cell>
          <cell r="DH10">
            <v>1</v>
          </cell>
          <cell r="DI10">
            <v>2</v>
          </cell>
          <cell r="DJ10">
            <v>1</v>
          </cell>
          <cell r="DK10">
            <v>2</v>
          </cell>
          <cell r="DL10">
            <v>1</v>
          </cell>
          <cell r="DM10">
            <v>3</v>
          </cell>
          <cell r="DN10">
            <v>1</v>
          </cell>
          <cell r="DO10">
            <v>3</v>
          </cell>
          <cell r="DP10">
            <v>0</v>
          </cell>
          <cell r="DQ10">
            <v>2</v>
          </cell>
          <cell r="DR10">
            <v>1</v>
          </cell>
          <cell r="DS10">
            <v>2</v>
          </cell>
          <cell r="DT10">
            <v>3</v>
          </cell>
          <cell r="DU10">
            <v>3</v>
          </cell>
          <cell r="DV10">
            <v>1</v>
          </cell>
          <cell r="DW10">
            <v>2</v>
          </cell>
          <cell r="DX10">
            <v>1</v>
          </cell>
          <cell r="DY10">
            <v>3</v>
          </cell>
          <cell r="DZ10">
            <v>2</v>
          </cell>
        </row>
        <row r="11">
          <cell r="A11">
            <v>7</v>
          </cell>
          <cell r="B11" t="str">
            <v>Juan Kiko Harker</v>
          </cell>
          <cell r="C11">
            <v>3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1</v>
          </cell>
          <cell r="I11">
            <v>1</v>
          </cell>
          <cell r="J11">
            <v>2</v>
          </cell>
          <cell r="K11">
            <v>3</v>
          </cell>
          <cell r="L11">
            <v>0</v>
          </cell>
          <cell r="M11">
            <v>3</v>
          </cell>
          <cell r="N11">
            <v>0</v>
          </cell>
          <cell r="O11">
            <v>1</v>
          </cell>
          <cell r="P11">
            <v>2</v>
          </cell>
          <cell r="Q11">
            <v>2</v>
          </cell>
          <cell r="R11">
            <v>1</v>
          </cell>
          <cell r="S11">
            <v>0</v>
          </cell>
          <cell r="T11">
            <v>2</v>
          </cell>
          <cell r="U11">
            <v>2</v>
          </cell>
          <cell r="V11">
            <v>0</v>
          </cell>
          <cell r="W11">
            <v>2</v>
          </cell>
          <cell r="X11">
            <v>1</v>
          </cell>
          <cell r="Y11">
            <v>2</v>
          </cell>
          <cell r="Z11">
            <v>0</v>
          </cell>
          <cell r="AA11">
            <v>3</v>
          </cell>
          <cell r="AB11">
            <v>1</v>
          </cell>
          <cell r="AC11">
            <v>0</v>
          </cell>
          <cell r="AD11">
            <v>3</v>
          </cell>
          <cell r="AE11">
            <v>2</v>
          </cell>
          <cell r="AF11">
            <v>0</v>
          </cell>
          <cell r="AG11">
            <v>1</v>
          </cell>
          <cell r="AH11">
            <v>1</v>
          </cell>
          <cell r="AI11">
            <v>2</v>
          </cell>
          <cell r="AJ11">
            <v>1</v>
          </cell>
          <cell r="AK11">
            <v>3</v>
          </cell>
          <cell r="AL11">
            <v>0</v>
          </cell>
          <cell r="AM11">
            <v>4</v>
          </cell>
          <cell r="AN11">
            <v>0</v>
          </cell>
          <cell r="AO11">
            <v>0</v>
          </cell>
          <cell r="AP11">
            <v>3</v>
          </cell>
          <cell r="AQ11">
            <v>3</v>
          </cell>
          <cell r="AR11">
            <v>1</v>
          </cell>
          <cell r="AS11">
            <v>2</v>
          </cell>
          <cell r="AT11">
            <v>0</v>
          </cell>
          <cell r="AU11">
            <v>2</v>
          </cell>
          <cell r="AV11">
            <v>1</v>
          </cell>
          <cell r="AW11">
            <v>3</v>
          </cell>
          <cell r="AX11">
            <v>0</v>
          </cell>
          <cell r="AY11">
            <v>2</v>
          </cell>
          <cell r="AZ11">
            <v>0</v>
          </cell>
          <cell r="BA11">
            <v>2</v>
          </cell>
          <cell r="BB11">
            <v>1</v>
          </cell>
          <cell r="BC11">
            <v>2</v>
          </cell>
          <cell r="BD11">
            <v>0</v>
          </cell>
          <cell r="BE11">
            <v>2</v>
          </cell>
          <cell r="BF11">
            <v>0</v>
          </cell>
          <cell r="BG11">
            <v>1</v>
          </cell>
          <cell r="BH11">
            <v>1</v>
          </cell>
          <cell r="BI11">
            <v>2</v>
          </cell>
          <cell r="BJ11">
            <v>0</v>
          </cell>
          <cell r="BK11">
            <v>1</v>
          </cell>
          <cell r="BL11">
            <v>1</v>
          </cell>
          <cell r="BM11">
            <v>2</v>
          </cell>
          <cell r="BN11">
            <v>1</v>
          </cell>
          <cell r="BO11">
            <v>2</v>
          </cell>
          <cell r="BP11">
            <v>2</v>
          </cell>
          <cell r="BQ11">
            <v>0</v>
          </cell>
          <cell r="BR11">
            <v>2</v>
          </cell>
          <cell r="BS11">
            <v>4</v>
          </cell>
          <cell r="BT11">
            <v>0</v>
          </cell>
          <cell r="BU11">
            <v>0</v>
          </cell>
          <cell r="BV11">
            <v>3</v>
          </cell>
          <cell r="BW11">
            <v>1</v>
          </cell>
          <cell r="BX11">
            <v>2</v>
          </cell>
          <cell r="BY11">
            <v>1</v>
          </cell>
          <cell r="BZ11">
            <v>2</v>
          </cell>
          <cell r="CA11">
            <v>0</v>
          </cell>
          <cell r="CB11">
            <v>2</v>
          </cell>
          <cell r="CC11">
            <v>1</v>
          </cell>
          <cell r="CD11">
            <v>2</v>
          </cell>
          <cell r="CE11">
            <v>0</v>
          </cell>
          <cell r="CF11">
            <v>3</v>
          </cell>
          <cell r="CG11">
            <v>1</v>
          </cell>
          <cell r="CH11">
            <v>2</v>
          </cell>
          <cell r="CI11">
            <v>1</v>
          </cell>
          <cell r="CJ11">
            <v>2</v>
          </cell>
          <cell r="CK11">
            <v>2</v>
          </cell>
          <cell r="CL11">
            <v>0</v>
          </cell>
          <cell r="CM11">
            <v>1</v>
          </cell>
          <cell r="CN11">
            <v>3</v>
          </cell>
          <cell r="CO11">
            <v>1</v>
          </cell>
          <cell r="CP11">
            <v>2</v>
          </cell>
          <cell r="CQ11">
            <v>2</v>
          </cell>
          <cell r="CR11">
            <v>2</v>
          </cell>
          <cell r="CS11">
            <v>1</v>
          </cell>
          <cell r="CT11">
            <v>1</v>
          </cell>
          <cell r="CU11">
            <v>2</v>
          </cell>
          <cell r="CV11">
            <v>1</v>
          </cell>
          <cell r="CW11">
            <v>1</v>
          </cell>
          <cell r="CX11">
            <v>1</v>
          </cell>
          <cell r="CY11">
            <v>3</v>
          </cell>
          <cell r="CZ11">
            <v>2</v>
          </cell>
          <cell r="DA11">
            <v>2</v>
          </cell>
          <cell r="DB11">
            <v>1</v>
          </cell>
          <cell r="DC11">
            <v>2</v>
          </cell>
          <cell r="DD11">
            <v>0</v>
          </cell>
          <cell r="DE11">
            <v>3</v>
          </cell>
          <cell r="DF11">
            <v>1</v>
          </cell>
          <cell r="DG11">
            <v>3</v>
          </cell>
          <cell r="DH11">
            <v>1</v>
          </cell>
          <cell r="DI11">
            <v>1</v>
          </cell>
          <cell r="DJ11">
            <v>2</v>
          </cell>
          <cell r="DK11">
            <v>2</v>
          </cell>
          <cell r="DL11">
            <v>1</v>
          </cell>
          <cell r="DM11">
            <v>3</v>
          </cell>
          <cell r="DN11">
            <v>2</v>
          </cell>
          <cell r="DO11">
            <v>2</v>
          </cell>
          <cell r="DP11">
            <v>1</v>
          </cell>
          <cell r="DQ11">
            <v>2</v>
          </cell>
          <cell r="DR11">
            <v>0</v>
          </cell>
          <cell r="DS11">
            <v>1</v>
          </cell>
          <cell r="DT11">
            <v>2</v>
          </cell>
          <cell r="DU11">
            <v>1</v>
          </cell>
          <cell r="DV11">
            <v>1</v>
          </cell>
          <cell r="DW11">
            <v>1</v>
          </cell>
          <cell r="DX11">
            <v>1</v>
          </cell>
          <cell r="DY11">
            <v>2</v>
          </cell>
          <cell r="DZ11">
            <v>2</v>
          </cell>
        </row>
        <row r="12">
          <cell r="A12">
            <v>8</v>
          </cell>
          <cell r="B12" t="str">
            <v>Dionisio Araujo V</v>
          </cell>
          <cell r="C12">
            <v>1</v>
          </cell>
          <cell r="D12">
            <v>0</v>
          </cell>
          <cell r="E12">
            <v>1</v>
          </cell>
          <cell r="F12">
            <v>2</v>
          </cell>
          <cell r="G12">
            <v>1</v>
          </cell>
          <cell r="H12">
            <v>1</v>
          </cell>
          <cell r="I12">
            <v>1</v>
          </cell>
          <cell r="J12">
            <v>2</v>
          </cell>
          <cell r="K12">
            <v>1</v>
          </cell>
          <cell r="L12">
            <v>0</v>
          </cell>
          <cell r="M12">
            <v>3</v>
          </cell>
          <cell r="N12">
            <v>0</v>
          </cell>
          <cell r="O12">
            <v>1</v>
          </cell>
          <cell r="P12">
            <v>1</v>
          </cell>
          <cell r="Q12">
            <v>2</v>
          </cell>
          <cell r="R12">
            <v>1</v>
          </cell>
          <cell r="S12">
            <v>0</v>
          </cell>
          <cell r="T12">
            <v>2</v>
          </cell>
          <cell r="U12">
            <v>2</v>
          </cell>
          <cell r="V12">
            <v>1</v>
          </cell>
          <cell r="W12">
            <v>3</v>
          </cell>
          <cell r="X12">
            <v>0</v>
          </cell>
          <cell r="Y12">
            <v>1</v>
          </cell>
          <cell r="Z12">
            <v>1</v>
          </cell>
          <cell r="AA12">
            <v>3</v>
          </cell>
          <cell r="AB12">
            <v>0</v>
          </cell>
          <cell r="AC12">
            <v>0</v>
          </cell>
          <cell r="AD12">
            <v>2</v>
          </cell>
          <cell r="AE12">
            <v>1</v>
          </cell>
          <cell r="AF12">
            <v>1</v>
          </cell>
          <cell r="AG12">
            <v>2</v>
          </cell>
          <cell r="AH12">
            <v>0</v>
          </cell>
          <cell r="AI12">
            <v>1</v>
          </cell>
          <cell r="AJ12">
            <v>0</v>
          </cell>
          <cell r="AK12">
            <v>2</v>
          </cell>
          <cell r="AL12">
            <v>0</v>
          </cell>
          <cell r="AM12">
            <v>3</v>
          </cell>
          <cell r="AN12">
            <v>0</v>
          </cell>
          <cell r="AO12">
            <v>0</v>
          </cell>
          <cell r="AP12">
            <v>2</v>
          </cell>
          <cell r="AQ12">
            <v>3</v>
          </cell>
          <cell r="AR12">
            <v>1</v>
          </cell>
          <cell r="AS12">
            <v>1</v>
          </cell>
          <cell r="AT12">
            <v>0</v>
          </cell>
          <cell r="AU12">
            <v>1</v>
          </cell>
          <cell r="AV12">
            <v>1</v>
          </cell>
          <cell r="AW12">
            <v>3</v>
          </cell>
          <cell r="AX12">
            <v>0</v>
          </cell>
          <cell r="AY12">
            <v>0</v>
          </cell>
          <cell r="AZ12">
            <v>0</v>
          </cell>
          <cell r="BA12">
            <v>1</v>
          </cell>
          <cell r="BB12">
            <v>1</v>
          </cell>
          <cell r="BC12">
            <v>1</v>
          </cell>
          <cell r="BD12">
            <v>0</v>
          </cell>
          <cell r="BE12">
            <v>3</v>
          </cell>
          <cell r="BF12">
            <v>1</v>
          </cell>
          <cell r="BG12">
            <v>1</v>
          </cell>
          <cell r="BH12">
            <v>2</v>
          </cell>
          <cell r="BI12">
            <v>2</v>
          </cell>
          <cell r="BJ12">
            <v>0</v>
          </cell>
          <cell r="BK12">
            <v>1</v>
          </cell>
          <cell r="BL12">
            <v>1</v>
          </cell>
          <cell r="BM12">
            <v>1</v>
          </cell>
          <cell r="BN12">
            <v>2</v>
          </cell>
          <cell r="BO12">
            <v>1</v>
          </cell>
          <cell r="BP12">
            <v>1</v>
          </cell>
          <cell r="BQ12">
            <v>0</v>
          </cell>
          <cell r="BR12">
            <v>2</v>
          </cell>
          <cell r="BS12">
            <v>2</v>
          </cell>
          <cell r="BT12">
            <v>1</v>
          </cell>
          <cell r="BU12">
            <v>0</v>
          </cell>
          <cell r="BV12">
            <v>3</v>
          </cell>
          <cell r="BW12">
            <v>0</v>
          </cell>
          <cell r="BX12">
            <v>1</v>
          </cell>
          <cell r="BY12">
            <v>0</v>
          </cell>
          <cell r="BZ12">
            <v>1</v>
          </cell>
          <cell r="CA12">
            <v>0</v>
          </cell>
          <cell r="CB12">
            <v>2</v>
          </cell>
          <cell r="CC12">
            <v>1</v>
          </cell>
          <cell r="CD12">
            <v>2</v>
          </cell>
          <cell r="CE12">
            <v>0</v>
          </cell>
          <cell r="CF12">
            <v>4</v>
          </cell>
          <cell r="CG12">
            <v>1</v>
          </cell>
          <cell r="CH12">
            <v>0</v>
          </cell>
          <cell r="CI12">
            <v>1</v>
          </cell>
          <cell r="CJ12">
            <v>2</v>
          </cell>
          <cell r="CK12">
            <v>0</v>
          </cell>
          <cell r="CL12">
            <v>1</v>
          </cell>
          <cell r="CM12">
            <v>0</v>
          </cell>
          <cell r="CN12">
            <v>2</v>
          </cell>
          <cell r="CO12">
            <v>1</v>
          </cell>
          <cell r="CP12">
            <v>2</v>
          </cell>
          <cell r="CQ12">
            <v>2</v>
          </cell>
          <cell r="CR12">
            <v>1</v>
          </cell>
          <cell r="CS12">
            <v>0</v>
          </cell>
          <cell r="CT12">
            <v>1</v>
          </cell>
          <cell r="CU12">
            <v>3</v>
          </cell>
          <cell r="CV12">
            <v>1</v>
          </cell>
          <cell r="CW12">
            <v>1</v>
          </cell>
          <cell r="CX12">
            <v>2</v>
          </cell>
          <cell r="CY12">
            <v>2</v>
          </cell>
          <cell r="CZ12">
            <v>0</v>
          </cell>
          <cell r="DA12">
            <v>2</v>
          </cell>
          <cell r="DB12">
            <v>1</v>
          </cell>
          <cell r="DC12">
            <v>3</v>
          </cell>
          <cell r="DD12">
            <v>1</v>
          </cell>
          <cell r="DE12">
            <v>2</v>
          </cell>
          <cell r="DF12">
            <v>0</v>
          </cell>
          <cell r="DG12">
            <v>4</v>
          </cell>
          <cell r="DH12">
            <v>0</v>
          </cell>
          <cell r="DI12">
            <v>2</v>
          </cell>
          <cell r="DJ12">
            <v>1</v>
          </cell>
          <cell r="DK12">
            <v>1</v>
          </cell>
          <cell r="DL12">
            <v>2</v>
          </cell>
          <cell r="DM12">
            <v>3</v>
          </cell>
          <cell r="DN12">
            <v>1</v>
          </cell>
          <cell r="DO12">
            <v>2</v>
          </cell>
          <cell r="DP12">
            <v>1</v>
          </cell>
          <cell r="DQ12">
            <v>3</v>
          </cell>
          <cell r="DR12">
            <v>1</v>
          </cell>
          <cell r="DS12">
            <v>2</v>
          </cell>
          <cell r="DT12">
            <v>3</v>
          </cell>
          <cell r="DU12">
            <v>1</v>
          </cell>
          <cell r="DV12">
            <v>3</v>
          </cell>
          <cell r="DW12">
            <v>1</v>
          </cell>
          <cell r="DX12">
            <v>2</v>
          </cell>
          <cell r="DY12">
            <v>2</v>
          </cell>
          <cell r="DZ12">
            <v>3</v>
          </cell>
        </row>
        <row r="13">
          <cell r="A13">
            <v>9</v>
          </cell>
          <cell r="B13" t="str">
            <v>Felipe Araujo A</v>
          </cell>
          <cell r="C13">
            <v>1</v>
          </cell>
          <cell r="D13">
            <v>0</v>
          </cell>
          <cell r="E13">
            <v>2</v>
          </cell>
          <cell r="F13">
            <v>1</v>
          </cell>
          <cell r="G13">
            <v>1</v>
          </cell>
          <cell r="H13">
            <v>1</v>
          </cell>
          <cell r="I13">
            <v>2</v>
          </cell>
          <cell r="J13">
            <v>0</v>
          </cell>
          <cell r="K13">
            <v>2</v>
          </cell>
          <cell r="L13">
            <v>0</v>
          </cell>
          <cell r="M13">
            <v>3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0</v>
          </cell>
          <cell r="T13">
            <v>2</v>
          </cell>
          <cell r="U13">
            <v>2</v>
          </cell>
          <cell r="V13">
            <v>0</v>
          </cell>
          <cell r="W13">
            <v>3</v>
          </cell>
          <cell r="X13">
            <v>1</v>
          </cell>
          <cell r="Y13">
            <v>1</v>
          </cell>
          <cell r="Z13">
            <v>1</v>
          </cell>
          <cell r="AA13">
            <v>2</v>
          </cell>
          <cell r="AB13">
            <v>0</v>
          </cell>
          <cell r="AC13">
            <v>0</v>
          </cell>
          <cell r="AD13">
            <v>1</v>
          </cell>
          <cell r="AE13">
            <v>1</v>
          </cell>
          <cell r="AF13">
            <v>0</v>
          </cell>
          <cell r="AG13">
            <v>2</v>
          </cell>
          <cell r="AH13">
            <v>1</v>
          </cell>
          <cell r="AI13">
            <v>0</v>
          </cell>
          <cell r="AJ13">
            <v>1</v>
          </cell>
          <cell r="AK13">
            <v>2</v>
          </cell>
          <cell r="AL13">
            <v>1</v>
          </cell>
          <cell r="AM13">
            <v>2</v>
          </cell>
          <cell r="AN13">
            <v>0</v>
          </cell>
          <cell r="AO13">
            <v>1</v>
          </cell>
          <cell r="AP13">
            <v>2</v>
          </cell>
          <cell r="AQ13">
            <v>2</v>
          </cell>
          <cell r="AR13">
            <v>1</v>
          </cell>
          <cell r="AS13">
            <v>0</v>
          </cell>
          <cell r="AT13">
            <v>1</v>
          </cell>
          <cell r="AU13">
            <v>1</v>
          </cell>
          <cell r="AV13">
            <v>0</v>
          </cell>
          <cell r="AW13">
            <v>4</v>
          </cell>
          <cell r="AX13">
            <v>0</v>
          </cell>
          <cell r="AY13">
            <v>1</v>
          </cell>
          <cell r="AZ13">
            <v>0</v>
          </cell>
          <cell r="BA13">
            <v>0</v>
          </cell>
          <cell r="BB13">
            <v>1</v>
          </cell>
          <cell r="BC13">
            <v>1</v>
          </cell>
          <cell r="BD13">
            <v>1</v>
          </cell>
          <cell r="BE13">
            <v>3</v>
          </cell>
          <cell r="BF13">
            <v>1</v>
          </cell>
          <cell r="BG13">
            <v>0</v>
          </cell>
          <cell r="BH13">
            <v>1</v>
          </cell>
          <cell r="BI13">
            <v>3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1</v>
          </cell>
          <cell r="BO13">
            <v>3</v>
          </cell>
          <cell r="BP13">
            <v>1</v>
          </cell>
          <cell r="BQ13">
            <v>0</v>
          </cell>
          <cell r="BR13">
            <v>2</v>
          </cell>
          <cell r="BS13">
            <v>2</v>
          </cell>
          <cell r="BT13">
            <v>1</v>
          </cell>
          <cell r="BU13">
            <v>0</v>
          </cell>
          <cell r="BV13">
            <v>1</v>
          </cell>
          <cell r="BW13">
            <v>0</v>
          </cell>
          <cell r="BX13">
            <v>2</v>
          </cell>
          <cell r="BY13">
            <v>0</v>
          </cell>
          <cell r="BZ13">
            <v>1</v>
          </cell>
          <cell r="CA13">
            <v>0</v>
          </cell>
          <cell r="CB13">
            <v>2</v>
          </cell>
          <cell r="CC13">
            <v>1</v>
          </cell>
          <cell r="CD13">
            <v>2</v>
          </cell>
          <cell r="CE13">
            <v>0</v>
          </cell>
          <cell r="CF13">
            <v>3</v>
          </cell>
          <cell r="CG13">
            <v>2</v>
          </cell>
          <cell r="CH13">
            <v>1</v>
          </cell>
          <cell r="CI13">
            <v>1</v>
          </cell>
          <cell r="CJ13">
            <v>3</v>
          </cell>
          <cell r="CK13">
            <v>2</v>
          </cell>
          <cell r="CL13">
            <v>0</v>
          </cell>
          <cell r="CM13">
            <v>1</v>
          </cell>
          <cell r="CN13">
            <v>1</v>
          </cell>
          <cell r="CO13">
            <v>0</v>
          </cell>
          <cell r="CP13">
            <v>2</v>
          </cell>
          <cell r="CQ13">
            <v>2</v>
          </cell>
          <cell r="CR13">
            <v>1</v>
          </cell>
          <cell r="CS13">
            <v>0</v>
          </cell>
          <cell r="CT13">
            <v>1</v>
          </cell>
          <cell r="CU13">
            <v>1</v>
          </cell>
          <cell r="CV13">
            <v>1</v>
          </cell>
          <cell r="CW13">
            <v>3</v>
          </cell>
          <cell r="CX13">
            <v>1</v>
          </cell>
          <cell r="CY13">
            <v>2</v>
          </cell>
          <cell r="CZ13">
            <v>1</v>
          </cell>
          <cell r="DA13">
            <v>2</v>
          </cell>
          <cell r="DB13">
            <v>0</v>
          </cell>
          <cell r="DC13">
            <v>2</v>
          </cell>
          <cell r="DD13">
            <v>0</v>
          </cell>
          <cell r="DE13">
            <v>1</v>
          </cell>
          <cell r="DF13">
            <v>1</v>
          </cell>
          <cell r="DG13">
            <v>1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1</v>
          </cell>
          <cell r="DM13">
            <v>2</v>
          </cell>
          <cell r="DN13">
            <v>2</v>
          </cell>
          <cell r="DO13">
            <v>3</v>
          </cell>
          <cell r="DP13">
            <v>1</v>
          </cell>
          <cell r="DQ13">
            <v>1</v>
          </cell>
          <cell r="DR13">
            <v>2</v>
          </cell>
          <cell r="DS13">
            <v>0</v>
          </cell>
          <cell r="DT13">
            <v>1</v>
          </cell>
          <cell r="DU13">
            <v>3</v>
          </cell>
          <cell r="DV13">
            <v>1</v>
          </cell>
          <cell r="DW13">
            <v>0</v>
          </cell>
          <cell r="DX13">
            <v>2</v>
          </cell>
          <cell r="DY13">
            <v>1</v>
          </cell>
          <cell r="DZ13">
            <v>2</v>
          </cell>
        </row>
        <row r="14">
          <cell r="A14">
            <v>10</v>
          </cell>
          <cell r="B14" t="str">
            <v>Andres Borrero</v>
          </cell>
          <cell r="C14">
            <v>2</v>
          </cell>
          <cell r="D14">
            <v>0</v>
          </cell>
          <cell r="E14">
            <v>0</v>
          </cell>
          <cell r="F14">
            <v>2</v>
          </cell>
          <cell r="G14">
            <v>1</v>
          </cell>
          <cell r="H14">
            <v>0</v>
          </cell>
          <cell r="I14">
            <v>1</v>
          </cell>
          <cell r="J14">
            <v>1</v>
          </cell>
          <cell r="K14">
            <v>2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1</v>
          </cell>
          <cell r="Q14">
            <v>1</v>
          </cell>
          <cell r="R14">
            <v>2</v>
          </cell>
          <cell r="S14">
            <v>0</v>
          </cell>
          <cell r="T14">
            <v>1</v>
          </cell>
          <cell r="U14">
            <v>2</v>
          </cell>
          <cell r="V14">
            <v>1</v>
          </cell>
          <cell r="W14">
            <v>2</v>
          </cell>
          <cell r="X14">
            <v>1</v>
          </cell>
          <cell r="Y14">
            <v>1</v>
          </cell>
          <cell r="Z14">
            <v>1</v>
          </cell>
          <cell r="AA14">
            <v>4</v>
          </cell>
          <cell r="AB14">
            <v>0</v>
          </cell>
          <cell r="AC14">
            <v>0</v>
          </cell>
          <cell r="AD14">
            <v>2</v>
          </cell>
          <cell r="AE14">
            <v>1</v>
          </cell>
          <cell r="AF14">
            <v>1</v>
          </cell>
          <cell r="AG14">
            <v>3</v>
          </cell>
          <cell r="AH14">
            <v>1</v>
          </cell>
          <cell r="AI14">
            <v>1</v>
          </cell>
          <cell r="AJ14">
            <v>1</v>
          </cell>
          <cell r="AK14">
            <v>2</v>
          </cell>
          <cell r="AL14">
            <v>0</v>
          </cell>
          <cell r="AM14">
            <v>4</v>
          </cell>
          <cell r="AN14">
            <v>0</v>
          </cell>
          <cell r="AO14">
            <v>0</v>
          </cell>
          <cell r="AP14">
            <v>2</v>
          </cell>
          <cell r="AQ14">
            <v>2</v>
          </cell>
          <cell r="AR14">
            <v>0</v>
          </cell>
          <cell r="AS14">
            <v>1</v>
          </cell>
          <cell r="AT14">
            <v>0</v>
          </cell>
          <cell r="AU14">
            <v>1</v>
          </cell>
          <cell r="AV14">
            <v>1</v>
          </cell>
          <cell r="AW14">
            <v>4</v>
          </cell>
          <cell r="AX14">
            <v>0</v>
          </cell>
          <cell r="AY14">
            <v>1</v>
          </cell>
          <cell r="AZ14">
            <v>0</v>
          </cell>
          <cell r="BA14">
            <v>0</v>
          </cell>
          <cell r="BB14">
            <v>2</v>
          </cell>
          <cell r="BC14">
            <v>2</v>
          </cell>
          <cell r="BD14">
            <v>0</v>
          </cell>
          <cell r="BE14">
            <v>2</v>
          </cell>
          <cell r="BF14">
            <v>1</v>
          </cell>
          <cell r="BG14">
            <v>1</v>
          </cell>
          <cell r="BH14">
            <v>2</v>
          </cell>
          <cell r="BI14">
            <v>4</v>
          </cell>
          <cell r="BJ14">
            <v>0</v>
          </cell>
          <cell r="BK14">
            <v>0</v>
          </cell>
          <cell r="BL14">
            <v>2</v>
          </cell>
          <cell r="BM14">
            <v>1</v>
          </cell>
          <cell r="BN14">
            <v>1</v>
          </cell>
          <cell r="BO14">
            <v>1</v>
          </cell>
          <cell r="BP14">
            <v>1</v>
          </cell>
          <cell r="BQ14">
            <v>0</v>
          </cell>
          <cell r="BR14">
            <v>3</v>
          </cell>
          <cell r="BS14">
            <v>2</v>
          </cell>
          <cell r="BT14">
            <v>0</v>
          </cell>
          <cell r="BU14">
            <v>0</v>
          </cell>
          <cell r="BV14">
            <v>2</v>
          </cell>
          <cell r="BW14">
            <v>0</v>
          </cell>
          <cell r="BX14">
            <v>2</v>
          </cell>
          <cell r="BY14">
            <v>1</v>
          </cell>
          <cell r="BZ14">
            <v>1</v>
          </cell>
          <cell r="CA14">
            <v>1</v>
          </cell>
          <cell r="CB14">
            <v>1</v>
          </cell>
          <cell r="CC14">
            <v>1</v>
          </cell>
          <cell r="CD14">
            <v>2</v>
          </cell>
          <cell r="CE14">
            <v>1</v>
          </cell>
          <cell r="CF14">
            <v>3</v>
          </cell>
          <cell r="CG14">
            <v>2</v>
          </cell>
          <cell r="CH14">
            <v>1</v>
          </cell>
          <cell r="CI14">
            <v>0</v>
          </cell>
          <cell r="CJ14">
            <v>2</v>
          </cell>
          <cell r="CK14">
            <v>2</v>
          </cell>
          <cell r="CL14">
            <v>0</v>
          </cell>
          <cell r="CM14">
            <v>0</v>
          </cell>
          <cell r="CN14">
            <v>1</v>
          </cell>
          <cell r="CO14">
            <v>1</v>
          </cell>
          <cell r="CP14">
            <v>1</v>
          </cell>
          <cell r="CQ14">
            <v>2</v>
          </cell>
          <cell r="CR14">
            <v>1</v>
          </cell>
          <cell r="CS14">
            <v>0</v>
          </cell>
          <cell r="CT14">
            <v>0</v>
          </cell>
          <cell r="CU14">
            <v>3</v>
          </cell>
          <cell r="CV14">
            <v>1</v>
          </cell>
          <cell r="CW14">
            <v>1</v>
          </cell>
          <cell r="CX14">
            <v>1</v>
          </cell>
          <cell r="CY14">
            <v>3</v>
          </cell>
          <cell r="CZ14">
            <v>1</v>
          </cell>
          <cell r="DA14">
            <v>2</v>
          </cell>
          <cell r="DB14">
            <v>2</v>
          </cell>
          <cell r="DC14">
            <v>2</v>
          </cell>
          <cell r="DD14">
            <v>1</v>
          </cell>
          <cell r="DE14">
            <v>1</v>
          </cell>
          <cell r="DF14">
            <v>0</v>
          </cell>
          <cell r="DG14">
            <v>1</v>
          </cell>
          <cell r="DH14">
            <v>1</v>
          </cell>
          <cell r="DI14">
            <v>2</v>
          </cell>
          <cell r="DJ14">
            <v>2</v>
          </cell>
          <cell r="DK14">
            <v>2</v>
          </cell>
          <cell r="DL14">
            <v>1</v>
          </cell>
          <cell r="DM14">
            <v>2</v>
          </cell>
          <cell r="DN14">
            <v>0</v>
          </cell>
          <cell r="DO14">
            <v>3</v>
          </cell>
          <cell r="DP14">
            <v>0</v>
          </cell>
          <cell r="DQ14">
            <v>2</v>
          </cell>
          <cell r="DR14">
            <v>0</v>
          </cell>
          <cell r="DS14">
            <v>1</v>
          </cell>
          <cell r="DT14">
            <v>2</v>
          </cell>
          <cell r="DU14">
            <v>1</v>
          </cell>
          <cell r="DV14">
            <v>1</v>
          </cell>
          <cell r="DW14">
            <v>2</v>
          </cell>
          <cell r="DX14">
            <v>3</v>
          </cell>
          <cell r="DY14">
            <v>2</v>
          </cell>
          <cell r="DZ14">
            <v>1</v>
          </cell>
        </row>
        <row r="15">
          <cell r="A15">
            <v>11</v>
          </cell>
          <cell r="B15" t="str">
            <v>Andres Lemaitre</v>
          </cell>
          <cell r="C15">
            <v>0</v>
          </cell>
          <cell r="D15">
            <v>0</v>
          </cell>
          <cell r="E15">
            <v>1</v>
          </cell>
          <cell r="F15">
            <v>1</v>
          </cell>
          <cell r="G15">
            <v>0</v>
          </cell>
          <cell r="H15">
            <v>0</v>
          </cell>
          <cell r="I15">
            <v>1</v>
          </cell>
          <cell r="J15">
            <v>1</v>
          </cell>
          <cell r="K15">
            <v>2</v>
          </cell>
          <cell r="L15">
            <v>0</v>
          </cell>
          <cell r="M15">
            <v>4</v>
          </cell>
          <cell r="N15">
            <v>0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0</v>
          </cell>
          <cell r="T15">
            <v>0</v>
          </cell>
          <cell r="U15">
            <v>1</v>
          </cell>
          <cell r="V15">
            <v>1</v>
          </cell>
          <cell r="W15">
            <v>3</v>
          </cell>
          <cell r="X15">
            <v>1</v>
          </cell>
          <cell r="Y15">
            <v>1</v>
          </cell>
          <cell r="Z15">
            <v>0</v>
          </cell>
          <cell r="AA15">
            <v>3</v>
          </cell>
          <cell r="AB15">
            <v>0</v>
          </cell>
          <cell r="AC15">
            <v>0</v>
          </cell>
          <cell r="AD15">
            <v>1</v>
          </cell>
          <cell r="AE15">
            <v>1</v>
          </cell>
          <cell r="AF15">
            <v>0</v>
          </cell>
          <cell r="AG15">
            <v>2</v>
          </cell>
          <cell r="AH15">
            <v>1</v>
          </cell>
          <cell r="AI15">
            <v>0</v>
          </cell>
          <cell r="AJ15">
            <v>1</v>
          </cell>
          <cell r="AK15">
            <v>2</v>
          </cell>
          <cell r="AL15">
            <v>0</v>
          </cell>
          <cell r="AM15">
            <v>3</v>
          </cell>
          <cell r="AN15">
            <v>0</v>
          </cell>
          <cell r="AO15">
            <v>0</v>
          </cell>
          <cell r="AP15">
            <v>4</v>
          </cell>
          <cell r="AQ15">
            <v>2</v>
          </cell>
          <cell r="AR15">
            <v>1</v>
          </cell>
          <cell r="AS15">
            <v>1</v>
          </cell>
          <cell r="AT15">
            <v>0</v>
          </cell>
          <cell r="AU15">
            <v>1</v>
          </cell>
          <cell r="AV15">
            <v>1</v>
          </cell>
          <cell r="AW15">
            <v>3</v>
          </cell>
          <cell r="AX15">
            <v>0</v>
          </cell>
          <cell r="AY15">
            <v>1</v>
          </cell>
          <cell r="AZ15">
            <v>0</v>
          </cell>
          <cell r="BA15">
            <v>1</v>
          </cell>
          <cell r="BB15">
            <v>1</v>
          </cell>
          <cell r="BC15">
            <v>2</v>
          </cell>
          <cell r="BD15">
            <v>0</v>
          </cell>
          <cell r="BE15">
            <v>1</v>
          </cell>
          <cell r="BF15">
            <v>1</v>
          </cell>
          <cell r="BG15">
            <v>2</v>
          </cell>
          <cell r="BH15">
            <v>1</v>
          </cell>
          <cell r="BI15">
            <v>2</v>
          </cell>
          <cell r="BJ15">
            <v>0</v>
          </cell>
          <cell r="BK15">
            <v>1</v>
          </cell>
          <cell r="BL15">
            <v>2</v>
          </cell>
          <cell r="BM15">
            <v>1</v>
          </cell>
          <cell r="BN15">
            <v>1</v>
          </cell>
          <cell r="BO15">
            <v>1</v>
          </cell>
          <cell r="BP15">
            <v>1</v>
          </cell>
          <cell r="BQ15">
            <v>0</v>
          </cell>
          <cell r="BR15">
            <v>1</v>
          </cell>
          <cell r="BS15">
            <v>2</v>
          </cell>
          <cell r="BT15">
            <v>0</v>
          </cell>
          <cell r="BU15">
            <v>0</v>
          </cell>
          <cell r="BV15">
            <v>1</v>
          </cell>
          <cell r="BW15">
            <v>0</v>
          </cell>
          <cell r="BX15">
            <v>1</v>
          </cell>
          <cell r="BY15">
            <v>1</v>
          </cell>
          <cell r="BZ15">
            <v>1</v>
          </cell>
          <cell r="CA15">
            <v>0</v>
          </cell>
          <cell r="CB15">
            <v>2</v>
          </cell>
          <cell r="CC15">
            <v>2</v>
          </cell>
          <cell r="CD15">
            <v>3</v>
          </cell>
          <cell r="CE15">
            <v>0</v>
          </cell>
          <cell r="CF15">
            <v>3</v>
          </cell>
          <cell r="CG15">
            <v>2</v>
          </cell>
          <cell r="CH15">
            <v>2</v>
          </cell>
          <cell r="CI15">
            <v>0</v>
          </cell>
          <cell r="CJ15">
            <v>4</v>
          </cell>
          <cell r="CK15">
            <v>1</v>
          </cell>
          <cell r="CL15">
            <v>1</v>
          </cell>
          <cell r="CM15">
            <v>1</v>
          </cell>
          <cell r="CN15">
            <v>1</v>
          </cell>
          <cell r="CO15">
            <v>0</v>
          </cell>
          <cell r="CP15">
            <v>1</v>
          </cell>
          <cell r="CQ15">
            <v>0</v>
          </cell>
          <cell r="CR15">
            <v>1</v>
          </cell>
          <cell r="CS15">
            <v>1</v>
          </cell>
          <cell r="CT15">
            <v>1</v>
          </cell>
          <cell r="CU15">
            <v>1</v>
          </cell>
          <cell r="CV15">
            <v>0</v>
          </cell>
          <cell r="CW15">
            <v>1</v>
          </cell>
          <cell r="CX15">
            <v>1</v>
          </cell>
          <cell r="CY15">
            <v>3</v>
          </cell>
          <cell r="CZ15">
            <v>0</v>
          </cell>
          <cell r="DA15">
            <v>2</v>
          </cell>
          <cell r="DB15">
            <v>0</v>
          </cell>
          <cell r="DC15">
            <v>4</v>
          </cell>
          <cell r="DD15">
            <v>1</v>
          </cell>
          <cell r="DE15">
            <v>0</v>
          </cell>
          <cell r="DF15">
            <v>1</v>
          </cell>
          <cell r="DG15">
            <v>2</v>
          </cell>
          <cell r="DH15">
            <v>1</v>
          </cell>
          <cell r="DI15">
            <v>0</v>
          </cell>
          <cell r="DJ15">
            <v>1</v>
          </cell>
          <cell r="DK15">
            <v>3</v>
          </cell>
          <cell r="DL15">
            <v>1</v>
          </cell>
          <cell r="DM15">
            <v>2</v>
          </cell>
          <cell r="DN15">
            <v>0</v>
          </cell>
          <cell r="DO15">
            <v>0</v>
          </cell>
          <cell r="DP15">
            <v>1</v>
          </cell>
          <cell r="DQ15">
            <v>1</v>
          </cell>
          <cell r="DR15">
            <v>1</v>
          </cell>
          <cell r="DS15">
            <v>1</v>
          </cell>
          <cell r="DT15">
            <v>3</v>
          </cell>
          <cell r="DU15">
            <v>2</v>
          </cell>
          <cell r="DV15">
            <v>2</v>
          </cell>
          <cell r="DW15">
            <v>1</v>
          </cell>
          <cell r="DX15">
            <v>2</v>
          </cell>
          <cell r="DY15">
            <v>2</v>
          </cell>
          <cell r="DZ15">
            <v>0</v>
          </cell>
        </row>
        <row r="16">
          <cell r="A16">
            <v>12</v>
          </cell>
          <cell r="B16" t="str">
            <v>Felipe Bonilla</v>
          </cell>
          <cell r="C16">
            <v>3</v>
          </cell>
          <cell r="D16">
            <v>0</v>
          </cell>
          <cell r="E16">
            <v>1</v>
          </cell>
          <cell r="F16">
            <v>2</v>
          </cell>
          <cell r="G16">
            <v>3</v>
          </cell>
          <cell r="H16">
            <v>2</v>
          </cell>
          <cell r="I16">
            <v>1</v>
          </cell>
          <cell r="J16">
            <v>2</v>
          </cell>
          <cell r="K16">
            <v>3</v>
          </cell>
          <cell r="L16">
            <v>1</v>
          </cell>
          <cell r="M16">
            <v>4</v>
          </cell>
          <cell r="N16">
            <v>0</v>
          </cell>
          <cell r="O16">
            <v>1</v>
          </cell>
          <cell r="P16">
            <v>1</v>
          </cell>
          <cell r="Q16">
            <v>2</v>
          </cell>
          <cell r="R16">
            <v>2</v>
          </cell>
          <cell r="S16">
            <v>1</v>
          </cell>
          <cell r="T16">
            <v>0</v>
          </cell>
          <cell r="U16">
            <v>0</v>
          </cell>
          <cell r="V16">
            <v>1</v>
          </cell>
          <cell r="W16">
            <v>1</v>
          </cell>
          <cell r="X16">
            <v>0</v>
          </cell>
          <cell r="Y16">
            <v>2</v>
          </cell>
          <cell r="Z16">
            <v>0</v>
          </cell>
          <cell r="AA16">
            <v>2</v>
          </cell>
          <cell r="AB16">
            <v>0</v>
          </cell>
          <cell r="AC16">
            <v>0</v>
          </cell>
          <cell r="AD16">
            <v>2</v>
          </cell>
          <cell r="AE16">
            <v>1</v>
          </cell>
          <cell r="AF16">
            <v>0</v>
          </cell>
          <cell r="AG16">
            <v>1</v>
          </cell>
          <cell r="AH16">
            <v>0</v>
          </cell>
          <cell r="AI16">
            <v>1</v>
          </cell>
          <cell r="AJ16">
            <v>1</v>
          </cell>
          <cell r="AK16">
            <v>3</v>
          </cell>
          <cell r="AL16">
            <v>0</v>
          </cell>
          <cell r="AM16">
            <v>6</v>
          </cell>
          <cell r="AN16">
            <v>0</v>
          </cell>
          <cell r="AO16">
            <v>1</v>
          </cell>
          <cell r="AP16">
            <v>6</v>
          </cell>
          <cell r="AQ16">
            <v>2</v>
          </cell>
          <cell r="AR16">
            <v>0</v>
          </cell>
          <cell r="AS16">
            <v>2</v>
          </cell>
          <cell r="AT16">
            <v>1</v>
          </cell>
          <cell r="AU16">
            <v>1</v>
          </cell>
          <cell r="AV16">
            <v>1</v>
          </cell>
          <cell r="AW16">
            <v>4</v>
          </cell>
          <cell r="AX16">
            <v>1</v>
          </cell>
          <cell r="AY16">
            <v>3</v>
          </cell>
          <cell r="AZ16">
            <v>1</v>
          </cell>
          <cell r="BA16">
            <v>1</v>
          </cell>
          <cell r="BB16">
            <v>2</v>
          </cell>
          <cell r="BC16">
            <v>4</v>
          </cell>
          <cell r="BD16">
            <v>0</v>
          </cell>
          <cell r="BE16">
            <v>1</v>
          </cell>
          <cell r="BF16">
            <v>0</v>
          </cell>
          <cell r="BG16">
            <v>0</v>
          </cell>
          <cell r="BH16">
            <v>1</v>
          </cell>
          <cell r="BI16">
            <v>3</v>
          </cell>
          <cell r="BJ16">
            <v>1</v>
          </cell>
          <cell r="BK16">
            <v>2</v>
          </cell>
          <cell r="BL16">
            <v>1</v>
          </cell>
          <cell r="BM16">
            <v>0</v>
          </cell>
          <cell r="BN16">
            <v>3</v>
          </cell>
          <cell r="BO16">
            <v>1</v>
          </cell>
          <cell r="BP16">
            <v>1</v>
          </cell>
          <cell r="BQ16">
            <v>0</v>
          </cell>
          <cell r="BR16">
            <v>1</v>
          </cell>
          <cell r="BS16">
            <v>4</v>
          </cell>
          <cell r="BT16">
            <v>2</v>
          </cell>
          <cell r="BU16">
            <v>0</v>
          </cell>
          <cell r="BV16">
            <v>2</v>
          </cell>
          <cell r="BW16">
            <v>1</v>
          </cell>
          <cell r="BX16">
            <v>2</v>
          </cell>
          <cell r="BY16">
            <v>0</v>
          </cell>
          <cell r="BZ16">
            <v>2</v>
          </cell>
          <cell r="CA16">
            <v>0</v>
          </cell>
          <cell r="CB16">
            <v>2</v>
          </cell>
          <cell r="CC16">
            <v>2</v>
          </cell>
          <cell r="CD16">
            <v>3</v>
          </cell>
          <cell r="CE16">
            <v>0</v>
          </cell>
          <cell r="CF16">
            <v>3</v>
          </cell>
          <cell r="CG16">
            <v>1</v>
          </cell>
          <cell r="CH16">
            <v>1</v>
          </cell>
          <cell r="CI16">
            <v>1</v>
          </cell>
          <cell r="CJ16">
            <v>3</v>
          </cell>
          <cell r="CK16">
            <v>2</v>
          </cell>
          <cell r="CL16">
            <v>2</v>
          </cell>
          <cell r="CM16">
            <v>1</v>
          </cell>
          <cell r="CN16">
            <v>1</v>
          </cell>
          <cell r="CO16">
            <v>0</v>
          </cell>
          <cell r="CP16">
            <v>2</v>
          </cell>
          <cell r="CQ16">
            <v>1</v>
          </cell>
          <cell r="CR16">
            <v>2</v>
          </cell>
          <cell r="CS16">
            <v>2</v>
          </cell>
          <cell r="CT16">
            <v>0</v>
          </cell>
          <cell r="CU16">
            <v>2</v>
          </cell>
          <cell r="CV16">
            <v>0</v>
          </cell>
          <cell r="CW16">
            <v>1</v>
          </cell>
          <cell r="CX16">
            <v>2</v>
          </cell>
          <cell r="CY16">
            <v>3</v>
          </cell>
          <cell r="CZ16">
            <v>1</v>
          </cell>
          <cell r="DA16">
            <v>2</v>
          </cell>
          <cell r="DB16">
            <v>2</v>
          </cell>
          <cell r="DC16">
            <v>2</v>
          </cell>
          <cell r="DD16">
            <v>0</v>
          </cell>
          <cell r="DE16">
            <v>4</v>
          </cell>
          <cell r="DF16">
            <v>2</v>
          </cell>
          <cell r="DG16">
            <v>2</v>
          </cell>
          <cell r="DH16">
            <v>0</v>
          </cell>
          <cell r="DI16">
            <v>2</v>
          </cell>
          <cell r="DJ16">
            <v>1</v>
          </cell>
          <cell r="DK16">
            <v>1</v>
          </cell>
          <cell r="DL16">
            <v>0</v>
          </cell>
          <cell r="DM16">
            <v>0</v>
          </cell>
          <cell r="DN16">
            <v>1</v>
          </cell>
          <cell r="DO16">
            <v>0</v>
          </cell>
          <cell r="DP16">
            <v>1</v>
          </cell>
          <cell r="DQ16">
            <v>4</v>
          </cell>
          <cell r="DR16">
            <v>0</v>
          </cell>
          <cell r="DS16">
            <v>1</v>
          </cell>
          <cell r="DT16">
            <v>2</v>
          </cell>
          <cell r="DU16">
            <v>0</v>
          </cell>
          <cell r="DV16">
            <v>2</v>
          </cell>
          <cell r="DW16">
            <v>1</v>
          </cell>
          <cell r="DX16">
            <v>1</v>
          </cell>
          <cell r="DY16">
            <v>1</v>
          </cell>
          <cell r="DZ16">
            <v>1</v>
          </cell>
        </row>
        <row r="17">
          <cell r="A17">
            <v>13</v>
          </cell>
          <cell r="B17" t="str">
            <v>Carlos A Pareja</v>
          </cell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1</v>
          </cell>
          <cell r="J17">
            <v>2</v>
          </cell>
          <cell r="K17">
            <v>3</v>
          </cell>
          <cell r="L17">
            <v>1</v>
          </cell>
          <cell r="M17">
            <v>4</v>
          </cell>
          <cell r="N17">
            <v>1</v>
          </cell>
          <cell r="O17">
            <v>2</v>
          </cell>
          <cell r="P17">
            <v>1</v>
          </cell>
          <cell r="Q17">
            <v>2</v>
          </cell>
          <cell r="R17">
            <v>2</v>
          </cell>
          <cell r="S17">
            <v>1</v>
          </cell>
          <cell r="T17">
            <v>0</v>
          </cell>
          <cell r="U17">
            <v>2</v>
          </cell>
          <cell r="V17">
            <v>1</v>
          </cell>
          <cell r="W17">
            <v>2</v>
          </cell>
          <cell r="X17">
            <v>0</v>
          </cell>
          <cell r="Y17">
            <v>0</v>
          </cell>
          <cell r="Z17">
            <v>0</v>
          </cell>
          <cell r="AA17">
            <v>3</v>
          </cell>
          <cell r="AB17">
            <v>0</v>
          </cell>
          <cell r="AC17">
            <v>0</v>
          </cell>
          <cell r="AD17">
            <v>1</v>
          </cell>
          <cell r="AE17">
            <v>1</v>
          </cell>
          <cell r="AF17">
            <v>2</v>
          </cell>
          <cell r="AG17">
            <v>2</v>
          </cell>
          <cell r="AH17">
            <v>0</v>
          </cell>
          <cell r="AI17">
            <v>2</v>
          </cell>
          <cell r="AJ17">
            <v>1</v>
          </cell>
          <cell r="AK17">
            <v>3</v>
          </cell>
          <cell r="AL17">
            <v>1</v>
          </cell>
          <cell r="AM17">
            <v>3</v>
          </cell>
          <cell r="AN17">
            <v>0</v>
          </cell>
          <cell r="AO17">
            <v>0</v>
          </cell>
          <cell r="AP17">
            <v>4</v>
          </cell>
          <cell r="AQ17">
            <v>4</v>
          </cell>
          <cell r="AR17">
            <v>2</v>
          </cell>
          <cell r="AS17">
            <v>2</v>
          </cell>
          <cell r="AT17">
            <v>1</v>
          </cell>
          <cell r="AU17">
            <v>2</v>
          </cell>
          <cell r="AV17">
            <v>1</v>
          </cell>
          <cell r="AW17">
            <v>3</v>
          </cell>
          <cell r="AX17">
            <v>0</v>
          </cell>
          <cell r="AY17">
            <v>0</v>
          </cell>
          <cell r="AZ17">
            <v>1</v>
          </cell>
          <cell r="BA17">
            <v>2</v>
          </cell>
          <cell r="BB17">
            <v>2</v>
          </cell>
          <cell r="BC17">
            <v>4</v>
          </cell>
          <cell r="BD17">
            <v>2</v>
          </cell>
          <cell r="BE17">
            <v>2</v>
          </cell>
          <cell r="BF17">
            <v>0</v>
          </cell>
          <cell r="BG17">
            <v>1</v>
          </cell>
          <cell r="BH17">
            <v>3</v>
          </cell>
          <cell r="BI17">
            <v>4</v>
          </cell>
          <cell r="BJ17">
            <v>0</v>
          </cell>
          <cell r="BK17">
            <v>1</v>
          </cell>
          <cell r="BL17">
            <v>1</v>
          </cell>
          <cell r="BM17">
            <v>1</v>
          </cell>
          <cell r="BN17">
            <v>2</v>
          </cell>
          <cell r="BO17">
            <v>2</v>
          </cell>
          <cell r="BP17">
            <v>2</v>
          </cell>
          <cell r="BQ17">
            <v>1</v>
          </cell>
          <cell r="BR17">
            <v>2</v>
          </cell>
          <cell r="BS17">
            <v>3</v>
          </cell>
          <cell r="BT17">
            <v>1</v>
          </cell>
          <cell r="BU17">
            <v>0</v>
          </cell>
          <cell r="BV17">
            <v>2</v>
          </cell>
          <cell r="BW17">
            <v>1</v>
          </cell>
          <cell r="BX17">
            <v>3</v>
          </cell>
          <cell r="BY17">
            <v>1</v>
          </cell>
          <cell r="BZ17">
            <v>2</v>
          </cell>
          <cell r="CA17">
            <v>2</v>
          </cell>
          <cell r="CB17">
            <v>3</v>
          </cell>
          <cell r="CC17">
            <v>1</v>
          </cell>
          <cell r="CD17">
            <v>1</v>
          </cell>
          <cell r="CE17">
            <v>0</v>
          </cell>
          <cell r="CF17">
            <v>4</v>
          </cell>
          <cell r="CG17">
            <v>1</v>
          </cell>
          <cell r="CH17">
            <v>2</v>
          </cell>
          <cell r="CI17">
            <v>1</v>
          </cell>
          <cell r="CJ17">
            <v>3</v>
          </cell>
          <cell r="CK17">
            <v>0</v>
          </cell>
          <cell r="CL17">
            <v>1</v>
          </cell>
          <cell r="CM17">
            <v>1</v>
          </cell>
          <cell r="CN17">
            <v>3</v>
          </cell>
          <cell r="CO17">
            <v>1</v>
          </cell>
          <cell r="CP17">
            <v>3</v>
          </cell>
          <cell r="CQ17">
            <v>2</v>
          </cell>
          <cell r="CR17">
            <v>2</v>
          </cell>
          <cell r="CS17">
            <v>1</v>
          </cell>
          <cell r="CT17">
            <v>1</v>
          </cell>
          <cell r="CU17">
            <v>1</v>
          </cell>
          <cell r="CV17">
            <v>1</v>
          </cell>
          <cell r="CW17">
            <v>1</v>
          </cell>
          <cell r="CX17">
            <v>3</v>
          </cell>
          <cell r="CY17">
            <v>2</v>
          </cell>
          <cell r="CZ17">
            <v>2</v>
          </cell>
          <cell r="DA17">
            <v>3</v>
          </cell>
          <cell r="DB17">
            <v>2</v>
          </cell>
          <cell r="DC17">
            <v>2</v>
          </cell>
          <cell r="DD17">
            <v>1</v>
          </cell>
          <cell r="DE17">
            <v>3</v>
          </cell>
          <cell r="DF17">
            <v>1</v>
          </cell>
          <cell r="DG17">
            <v>2</v>
          </cell>
          <cell r="DH17">
            <v>0</v>
          </cell>
          <cell r="DI17">
            <v>2</v>
          </cell>
          <cell r="DJ17">
            <v>1</v>
          </cell>
          <cell r="DK17">
            <v>0</v>
          </cell>
          <cell r="DL17">
            <v>1</v>
          </cell>
          <cell r="DM17">
            <v>3</v>
          </cell>
          <cell r="DN17">
            <v>2</v>
          </cell>
          <cell r="DO17">
            <v>1</v>
          </cell>
          <cell r="DP17">
            <v>1</v>
          </cell>
          <cell r="DQ17">
            <v>2</v>
          </cell>
          <cell r="DR17">
            <v>2</v>
          </cell>
          <cell r="DS17">
            <v>1</v>
          </cell>
          <cell r="DT17">
            <v>2</v>
          </cell>
          <cell r="DU17">
            <v>2</v>
          </cell>
          <cell r="DV17">
            <v>2</v>
          </cell>
          <cell r="DW17">
            <v>3</v>
          </cell>
          <cell r="DX17">
            <v>2</v>
          </cell>
          <cell r="DY17">
            <v>2</v>
          </cell>
          <cell r="DZ17">
            <v>0</v>
          </cell>
        </row>
        <row r="18">
          <cell r="A18">
            <v>14</v>
          </cell>
          <cell r="B18" t="str">
            <v>Nicolas Mujica R</v>
          </cell>
          <cell r="C18">
            <v>2</v>
          </cell>
          <cell r="D18">
            <v>0</v>
          </cell>
          <cell r="E18">
            <v>0</v>
          </cell>
          <cell r="F18">
            <v>2</v>
          </cell>
          <cell r="G18">
            <v>2</v>
          </cell>
          <cell r="H18">
            <v>0</v>
          </cell>
          <cell r="I18">
            <v>1</v>
          </cell>
          <cell r="J18">
            <v>2</v>
          </cell>
          <cell r="K18">
            <v>2</v>
          </cell>
          <cell r="L18">
            <v>0</v>
          </cell>
          <cell r="M18">
            <v>3</v>
          </cell>
          <cell r="N18">
            <v>0</v>
          </cell>
          <cell r="O18">
            <v>1</v>
          </cell>
          <cell r="P18">
            <v>1</v>
          </cell>
          <cell r="Q18">
            <v>3</v>
          </cell>
          <cell r="R18">
            <v>1</v>
          </cell>
          <cell r="S18">
            <v>1</v>
          </cell>
          <cell r="T18">
            <v>2</v>
          </cell>
          <cell r="U18">
            <v>4</v>
          </cell>
          <cell r="V18">
            <v>1</v>
          </cell>
          <cell r="W18">
            <v>4</v>
          </cell>
          <cell r="X18">
            <v>0</v>
          </cell>
          <cell r="Y18">
            <v>2</v>
          </cell>
          <cell r="Z18">
            <v>1</v>
          </cell>
          <cell r="AA18">
            <v>2</v>
          </cell>
          <cell r="AB18">
            <v>0</v>
          </cell>
          <cell r="AC18">
            <v>0</v>
          </cell>
          <cell r="AD18">
            <v>2</v>
          </cell>
          <cell r="AE18">
            <v>2</v>
          </cell>
          <cell r="AF18">
            <v>0</v>
          </cell>
          <cell r="AG18">
            <v>2</v>
          </cell>
          <cell r="AH18">
            <v>1</v>
          </cell>
          <cell r="AI18">
            <v>2</v>
          </cell>
          <cell r="AJ18">
            <v>2</v>
          </cell>
          <cell r="AK18">
            <v>2</v>
          </cell>
          <cell r="AL18">
            <v>1</v>
          </cell>
          <cell r="AM18">
            <v>4</v>
          </cell>
          <cell r="AN18">
            <v>0</v>
          </cell>
          <cell r="AO18">
            <v>0</v>
          </cell>
          <cell r="AP18">
            <v>3</v>
          </cell>
          <cell r="AQ18">
            <v>2</v>
          </cell>
          <cell r="AR18">
            <v>0</v>
          </cell>
          <cell r="AS18">
            <v>1</v>
          </cell>
          <cell r="AT18">
            <v>0</v>
          </cell>
          <cell r="AU18">
            <v>2</v>
          </cell>
          <cell r="AV18">
            <v>1</v>
          </cell>
          <cell r="AW18">
            <v>3</v>
          </cell>
          <cell r="AX18">
            <v>1</v>
          </cell>
          <cell r="AY18">
            <v>1</v>
          </cell>
          <cell r="AZ18">
            <v>0</v>
          </cell>
          <cell r="BA18">
            <v>2</v>
          </cell>
          <cell r="BB18">
            <v>1</v>
          </cell>
          <cell r="BC18">
            <v>3</v>
          </cell>
          <cell r="BD18">
            <v>1</v>
          </cell>
          <cell r="BE18">
            <v>2</v>
          </cell>
          <cell r="BF18">
            <v>0</v>
          </cell>
          <cell r="BG18">
            <v>1</v>
          </cell>
          <cell r="BH18">
            <v>1</v>
          </cell>
          <cell r="BI18">
            <v>2</v>
          </cell>
          <cell r="BJ18">
            <v>0</v>
          </cell>
          <cell r="BK18">
            <v>2</v>
          </cell>
          <cell r="BL18">
            <v>1</v>
          </cell>
          <cell r="BM18">
            <v>0</v>
          </cell>
          <cell r="BN18">
            <v>1</v>
          </cell>
          <cell r="BO18">
            <v>3</v>
          </cell>
          <cell r="BP18">
            <v>1</v>
          </cell>
          <cell r="BQ18">
            <v>1</v>
          </cell>
          <cell r="BR18">
            <v>3</v>
          </cell>
          <cell r="BS18">
            <v>3</v>
          </cell>
          <cell r="BT18">
            <v>1</v>
          </cell>
          <cell r="BU18">
            <v>0</v>
          </cell>
          <cell r="BV18">
            <v>2</v>
          </cell>
          <cell r="BW18">
            <v>1</v>
          </cell>
          <cell r="BX18">
            <v>2</v>
          </cell>
          <cell r="BY18">
            <v>0</v>
          </cell>
          <cell r="BZ18">
            <v>1</v>
          </cell>
          <cell r="CA18">
            <v>0</v>
          </cell>
          <cell r="CB18">
            <v>2</v>
          </cell>
          <cell r="CC18">
            <v>1</v>
          </cell>
          <cell r="CD18">
            <v>1</v>
          </cell>
          <cell r="CE18">
            <v>1</v>
          </cell>
          <cell r="CF18">
            <v>3</v>
          </cell>
          <cell r="CG18">
            <v>1</v>
          </cell>
          <cell r="CH18">
            <v>2</v>
          </cell>
          <cell r="CI18">
            <v>1</v>
          </cell>
          <cell r="CJ18">
            <v>3</v>
          </cell>
          <cell r="CK18">
            <v>0</v>
          </cell>
          <cell r="CL18">
            <v>1</v>
          </cell>
          <cell r="CM18">
            <v>1</v>
          </cell>
          <cell r="CN18">
            <v>2</v>
          </cell>
          <cell r="CO18">
            <v>1</v>
          </cell>
          <cell r="CP18">
            <v>3</v>
          </cell>
          <cell r="CQ18">
            <v>2</v>
          </cell>
          <cell r="CR18">
            <v>2</v>
          </cell>
          <cell r="CS18">
            <v>1</v>
          </cell>
          <cell r="CT18">
            <v>0</v>
          </cell>
          <cell r="CU18">
            <v>2</v>
          </cell>
          <cell r="CV18">
            <v>1</v>
          </cell>
          <cell r="CW18">
            <v>2</v>
          </cell>
          <cell r="CX18">
            <v>0</v>
          </cell>
          <cell r="CY18">
            <v>2</v>
          </cell>
          <cell r="CZ18">
            <v>0</v>
          </cell>
          <cell r="DA18">
            <v>3</v>
          </cell>
          <cell r="DB18">
            <v>1</v>
          </cell>
          <cell r="DC18">
            <v>3</v>
          </cell>
          <cell r="DD18">
            <v>0</v>
          </cell>
          <cell r="DE18">
            <v>1</v>
          </cell>
          <cell r="DF18">
            <v>0</v>
          </cell>
          <cell r="DG18">
            <v>3</v>
          </cell>
          <cell r="DH18">
            <v>0</v>
          </cell>
          <cell r="DI18">
            <v>2</v>
          </cell>
          <cell r="DJ18">
            <v>0</v>
          </cell>
          <cell r="DK18">
            <v>2</v>
          </cell>
          <cell r="DL18">
            <v>2</v>
          </cell>
          <cell r="DM18">
            <v>2</v>
          </cell>
          <cell r="DN18">
            <v>0</v>
          </cell>
          <cell r="DO18">
            <v>2</v>
          </cell>
          <cell r="DP18">
            <v>2</v>
          </cell>
          <cell r="DQ18">
            <v>1</v>
          </cell>
          <cell r="DR18">
            <v>1</v>
          </cell>
          <cell r="DS18">
            <v>0</v>
          </cell>
          <cell r="DT18">
            <v>2</v>
          </cell>
          <cell r="DU18">
            <v>1</v>
          </cell>
          <cell r="DV18">
            <v>1</v>
          </cell>
          <cell r="DW18">
            <v>2</v>
          </cell>
          <cell r="DX18">
            <v>0</v>
          </cell>
          <cell r="DY18">
            <v>3</v>
          </cell>
          <cell r="DZ18">
            <v>1</v>
          </cell>
        </row>
        <row r="19">
          <cell r="A19">
            <v>15</v>
          </cell>
          <cell r="B19" t="str">
            <v>Felipe Fonseca</v>
          </cell>
          <cell r="C19">
            <v>2</v>
          </cell>
          <cell r="D19">
            <v>0</v>
          </cell>
          <cell r="E19">
            <v>0</v>
          </cell>
          <cell r="F19">
            <v>3</v>
          </cell>
          <cell r="G19">
            <v>2</v>
          </cell>
          <cell r="H19">
            <v>2</v>
          </cell>
          <cell r="I19">
            <v>2</v>
          </cell>
          <cell r="J19">
            <v>5</v>
          </cell>
          <cell r="K19">
            <v>2</v>
          </cell>
          <cell r="L19">
            <v>0</v>
          </cell>
          <cell r="M19">
            <v>3</v>
          </cell>
          <cell r="N19">
            <v>1</v>
          </cell>
          <cell r="O19">
            <v>0</v>
          </cell>
          <cell r="P19">
            <v>2</v>
          </cell>
          <cell r="Q19">
            <v>2</v>
          </cell>
          <cell r="R19">
            <v>2</v>
          </cell>
          <cell r="S19">
            <v>3</v>
          </cell>
          <cell r="T19">
            <v>3</v>
          </cell>
          <cell r="U19">
            <v>2</v>
          </cell>
          <cell r="V19">
            <v>1</v>
          </cell>
          <cell r="W19">
            <v>2</v>
          </cell>
          <cell r="X19">
            <v>0</v>
          </cell>
          <cell r="Y19">
            <v>3</v>
          </cell>
          <cell r="Z19">
            <v>1</v>
          </cell>
          <cell r="AA19">
            <v>3</v>
          </cell>
          <cell r="AB19">
            <v>0</v>
          </cell>
          <cell r="AC19">
            <v>0</v>
          </cell>
          <cell r="AD19">
            <v>1</v>
          </cell>
          <cell r="AE19">
            <v>3</v>
          </cell>
          <cell r="AF19">
            <v>2</v>
          </cell>
          <cell r="AG19">
            <v>2</v>
          </cell>
          <cell r="AH19">
            <v>2</v>
          </cell>
          <cell r="AI19">
            <v>1</v>
          </cell>
          <cell r="AJ19">
            <v>0</v>
          </cell>
          <cell r="AK19">
            <v>3</v>
          </cell>
          <cell r="AL19">
            <v>1</v>
          </cell>
          <cell r="AM19">
            <v>4</v>
          </cell>
          <cell r="AN19">
            <v>0</v>
          </cell>
          <cell r="AO19">
            <v>0</v>
          </cell>
          <cell r="AP19">
            <v>4</v>
          </cell>
          <cell r="AQ19">
            <v>3</v>
          </cell>
          <cell r="AR19">
            <v>0</v>
          </cell>
          <cell r="AS19">
            <v>1</v>
          </cell>
          <cell r="AT19">
            <v>0</v>
          </cell>
          <cell r="AU19">
            <v>0</v>
          </cell>
          <cell r="AV19">
            <v>0</v>
          </cell>
          <cell r="AW19">
            <v>3</v>
          </cell>
          <cell r="AX19">
            <v>0</v>
          </cell>
          <cell r="AY19">
            <v>2</v>
          </cell>
          <cell r="AZ19">
            <v>3</v>
          </cell>
          <cell r="BA19">
            <v>1</v>
          </cell>
          <cell r="BB19">
            <v>1</v>
          </cell>
          <cell r="BC19">
            <v>2</v>
          </cell>
          <cell r="BD19">
            <v>1</v>
          </cell>
          <cell r="BE19">
            <v>4</v>
          </cell>
          <cell r="BF19">
            <v>2</v>
          </cell>
          <cell r="BG19">
            <v>1</v>
          </cell>
          <cell r="BH19">
            <v>2</v>
          </cell>
          <cell r="BI19">
            <v>2</v>
          </cell>
          <cell r="BJ19">
            <v>0</v>
          </cell>
          <cell r="BK19">
            <v>1</v>
          </cell>
          <cell r="BL19">
            <v>2</v>
          </cell>
          <cell r="BM19">
            <v>0</v>
          </cell>
          <cell r="BN19">
            <v>0</v>
          </cell>
          <cell r="BO19">
            <v>2</v>
          </cell>
          <cell r="BP19">
            <v>0</v>
          </cell>
          <cell r="BQ19">
            <v>1</v>
          </cell>
          <cell r="BR19">
            <v>3</v>
          </cell>
          <cell r="BS19">
            <v>3</v>
          </cell>
          <cell r="BT19">
            <v>1</v>
          </cell>
          <cell r="BU19">
            <v>0</v>
          </cell>
          <cell r="BV19">
            <v>2</v>
          </cell>
          <cell r="BW19">
            <v>1</v>
          </cell>
          <cell r="BX19">
            <v>2</v>
          </cell>
          <cell r="BY19">
            <v>1</v>
          </cell>
          <cell r="BZ19">
            <v>2</v>
          </cell>
          <cell r="CA19">
            <v>2</v>
          </cell>
          <cell r="CB19">
            <v>1</v>
          </cell>
          <cell r="CC19">
            <v>0</v>
          </cell>
          <cell r="CD19">
            <v>2</v>
          </cell>
          <cell r="CE19">
            <v>0</v>
          </cell>
          <cell r="CF19">
            <v>3</v>
          </cell>
          <cell r="CG19">
            <v>3</v>
          </cell>
          <cell r="CH19">
            <v>2</v>
          </cell>
          <cell r="CI19">
            <v>2</v>
          </cell>
          <cell r="CJ19">
            <v>4</v>
          </cell>
          <cell r="CK19">
            <v>1</v>
          </cell>
          <cell r="CL19">
            <v>2</v>
          </cell>
          <cell r="CM19">
            <v>0</v>
          </cell>
          <cell r="CN19">
            <v>2</v>
          </cell>
          <cell r="CO19">
            <v>1</v>
          </cell>
          <cell r="CP19">
            <v>3</v>
          </cell>
          <cell r="CQ19">
            <v>1</v>
          </cell>
          <cell r="CR19">
            <v>2</v>
          </cell>
          <cell r="CS19">
            <v>3</v>
          </cell>
          <cell r="CT19">
            <v>0</v>
          </cell>
          <cell r="CU19">
            <v>4</v>
          </cell>
          <cell r="CV19">
            <v>2</v>
          </cell>
          <cell r="CW19">
            <v>3</v>
          </cell>
          <cell r="CX19">
            <v>2</v>
          </cell>
          <cell r="CY19">
            <v>2</v>
          </cell>
          <cell r="CZ19">
            <v>0</v>
          </cell>
          <cell r="DA19">
            <v>2</v>
          </cell>
          <cell r="DB19">
            <v>0</v>
          </cell>
          <cell r="DC19">
            <v>3</v>
          </cell>
          <cell r="DD19">
            <v>2</v>
          </cell>
          <cell r="DE19">
            <v>1</v>
          </cell>
          <cell r="DF19">
            <v>2</v>
          </cell>
          <cell r="DG19">
            <v>4</v>
          </cell>
          <cell r="DH19">
            <v>0</v>
          </cell>
          <cell r="DI19">
            <v>3</v>
          </cell>
          <cell r="DJ19">
            <v>1</v>
          </cell>
          <cell r="DK19">
            <v>1</v>
          </cell>
          <cell r="DL19">
            <v>2</v>
          </cell>
          <cell r="DM19">
            <v>3</v>
          </cell>
          <cell r="DN19">
            <v>0</v>
          </cell>
          <cell r="DO19">
            <v>3</v>
          </cell>
          <cell r="DP19">
            <v>1</v>
          </cell>
          <cell r="DQ19">
            <v>4</v>
          </cell>
          <cell r="DR19">
            <v>1</v>
          </cell>
          <cell r="DS19">
            <v>2</v>
          </cell>
          <cell r="DT19">
            <v>4</v>
          </cell>
          <cell r="DU19">
            <v>2</v>
          </cell>
          <cell r="DV19">
            <v>3</v>
          </cell>
          <cell r="DW19">
            <v>1</v>
          </cell>
          <cell r="DX19">
            <v>3</v>
          </cell>
          <cell r="DY19">
            <v>0</v>
          </cell>
          <cell r="DZ19">
            <v>1</v>
          </cell>
        </row>
        <row r="20">
          <cell r="A20">
            <v>16</v>
          </cell>
          <cell r="B20" t="str">
            <v>Miguel A Ospina</v>
          </cell>
          <cell r="C20">
            <v>3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2</v>
          </cell>
          <cell r="J20">
            <v>2</v>
          </cell>
          <cell r="K20">
            <v>2</v>
          </cell>
          <cell r="L20">
            <v>0</v>
          </cell>
          <cell r="M20">
            <v>3</v>
          </cell>
          <cell r="N20">
            <v>0</v>
          </cell>
          <cell r="O20">
            <v>1</v>
          </cell>
          <cell r="P20">
            <v>1</v>
          </cell>
          <cell r="Q20">
            <v>2</v>
          </cell>
          <cell r="R20">
            <v>0</v>
          </cell>
          <cell r="S20">
            <v>2</v>
          </cell>
          <cell r="T20">
            <v>1</v>
          </cell>
          <cell r="U20">
            <v>3</v>
          </cell>
          <cell r="V20">
            <v>1</v>
          </cell>
          <cell r="W20">
            <v>1</v>
          </cell>
          <cell r="X20">
            <v>1</v>
          </cell>
          <cell r="Y20">
            <v>2</v>
          </cell>
          <cell r="Z20">
            <v>1</v>
          </cell>
          <cell r="AA20">
            <v>3</v>
          </cell>
          <cell r="AB20">
            <v>0</v>
          </cell>
          <cell r="AC20">
            <v>1</v>
          </cell>
          <cell r="AD20">
            <v>1</v>
          </cell>
          <cell r="AE20">
            <v>2</v>
          </cell>
          <cell r="AF20">
            <v>0</v>
          </cell>
          <cell r="AG20">
            <v>1</v>
          </cell>
          <cell r="AH20">
            <v>1</v>
          </cell>
          <cell r="AI20">
            <v>2</v>
          </cell>
          <cell r="AJ20">
            <v>0</v>
          </cell>
          <cell r="AK20">
            <v>2</v>
          </cell>
          <cell r="AL20">
            <v>1</v>
          </cell>
          <cell r="AM20">
            <v>2</v>
          </cell>
          <cell r="AN20">
            <v>1</v>
          </cell>
          <cell r="AO20">
            <v>0</v>
          </cell>
          <cell r="AP20">
            <v>3</v>
          </cell>
          <cell r="AQ20">
            <v>2</v>
          </cell>
          <cell r="AR20">
            <v>1</v>
          </cell>
          <cell r="AS20">
            <v>2</v>
          </cell>
          <cell r="AT20">
            <v>1</v>
          </cell>
          <cell r="AU20">
            <v>1</v>
          </cell>
          <cell r="AV20">
            <v>1</v>
          </cell>
          <cell r="AW20">
            <v>3</v>
          </cell>
          <cell r="AX20">
            <v>0</v>
          </cell>
          <cell r="AY20">
            <v>2</v>
          </cell>
          <cell r="AZ20">
            <v>1</v>
          </cell>
          <cell r="BA20">
            <v>0</v>
          </cell>
          <cell r="BB20">
            <v>2</v>
          </cell>
          <cell r="BC20">
            <v>2</v>
          </cell>
          <cell r="BD20">
            <v>1</v>
          </cell>
          <cell r="BE20">
            <v>2</v>
          </cell>
          <cell r="BF20">
            <v>0</v>
          </cell>
          <cell r="BG20">
            <v>1</v>
          </cell>
          <cell r="BH20">
            <v>2</v>
          </cell>
          <cell r="BI20">
            <v>2</v>
          </cell>
          <cell r="BJ20">
            <v>0</v>
          </cell>
          <cell r="BK20">
            <v>1</v>
          </cell>
          <cell r="BL20">
            <v>2</v>
          </cell>
          <cell r="BM20">
            <v>0</v>
          </cell>
          <cell r="BN20">
            <v>2</v>
          </cell>
          <cell r="BO20">
            <v>0</v>
          </cell>
          <cell r="BP20">
            <v>1</v>
          </cell>
          <cell r="BQ20">
            <v>2</v>
          </cell>
          <cell r="BR20">
            <v>2</v>
          </cell>
          <cell r="BS20">
            <v>2</v>
          </cell>
          <cell r="BT20">
            <v>1</v>
          </cell>
          <cell r="BU20">
            <v>0</v>
          </cell>
          <cell r="BV20">
            <v>1</v>
          </cell>
          <cell r="BW20">
            <v>1</v>
          </cell>
          <cell r="BX20">
            <v>3</v>
          </cell>
          <cell r="BY20">
            <v>0</v>
          </cell>
          <cell r="BZ20">
            <v>1</v>
          </cell>
          <cell r="CA20">
            <v>1</v>
          </cell>
          <cell r="CB20">
            <v>1</v>
          </cell>
          <cell r="CC20">
            <v>1</v>
          </cell>
          <cell r="CD20">
            <v>2</v>
          </cell>
          <cell r="CE20">
            <v>0</v>
          </cell>
          <cell r="CF20">
            <v>5</v>
          </cell>
          <cell r="CG20">
            <v>2</v>
          </cell>
          <cell r="CH20">
            <v>1</v>
          </cell>
          <cell r="CI20">
            <v>0</v>
          </cell>
          <cell r="CJ20">
            <v>4</v>
          </cell>
          <cell r="CK20">
            <v>1</v>
          </cell>
          <cell r="CL20">
            <v>0</v>
          </cell>
          <cell r="CM20">
            <v>0</v>
          </cell>
          <cell r="CN20">
            <v>3</v>
          </cell>
          <cell r="CO20">
            <v>0</v>
          </cell>
          <cell r="CP20">
            <v>1</v>
          </cell>
          <cell r="CQ20">
            <v>1</v>
          </cell>
          <cell r="CR20">
            <v>2</v>
          </cell>
          <cell r="CS20">
            <v>0</v>
          </cell>
          <cell r="CT20">
            <v>2</v>
          </cell>
          <cell r="CU20">
            <v>1</v>
          </cell>
          <cell r="CV20">
            <v>2</v>
          </cell>
          <cell r="CW20">
            <v>2</v>
          </cell>
          <cell r="CX20">
            <v>1</v>
          </cell>
          <cell r="CY20">
            <v>3</v>
          </cell>
          <cell r="CZ20">
            <v>1</v>
          </cell>
          <cell r="DA20">
            <v>3</v>
          </cell>
          <cell r="DB20">
            <v>0</v>
          </cell>
          <cell r="DC20">
            <v>2</v>
          </cell>
          <cell r="DD20">
            <v>1</v>
          </cell>
          <cell r="DE20">
            <v>1</v>
          </cell>
          <cell r="DF20">
            <v>2</v>
          </cell>
          <cell r="DG20">
            <v>3</v>
          </cell>
          <cell r="DH20">
            <v>1</v>
          </cell>
          <cell r="DI20">
            <v>1</v>
          </cell>
          <cell r="DJ20">
            <v>0</v>
          </cell>
          <cell r="DK20">
            <v>1</v>
          </cell>
          <cell r="DL20">
            <v>0</v>
          </cell>
          <cell r="DM20">
            <v>2</v>
          </cell>
          <cell r="DN20">
            <v>0</v>
          </cell>
          <cell r="DO20">
            <v>3</v>
          </cell>
          <cell r="DP20">
            <v>1</v>
          </cell>
          <cell r="DQ20">
            <v>3</v>
          </cell>
          <cell r="DR20">
            <v>2</v>
          </cell>
          <cell r="DS20">
            <v>1</v>
          </cell>
          <cell r="DT20">
            <v>2</v>
          </cell>
          <cell r="DU20">
            <v>2</v>
          </cell>
          <cell r="DV20">
            <v>1</v>
          </cell>
          <cell r="DW20">
            <v>1</v>
          </cell>
          <cell r="DX20">
            <v>2</v>
          </cell>
          <cell r="DY20">
            <v>1</v>
          </cell>
          <cell r="DZ20">
            <v>2</v>
          </cell>
        </row>
        <row r="21">
          <cell r="A21">
            <v>17</v>
          </cell>
          <cell r="B21" t="str">
            <v>Christian Benitez</v>
          </cell>
          <cell r="C21">
            <v>3</v>
          </cell>
          <cell r="D21">
            <v>1</v>
          </cell>
          <cell r="E21">
            <v>1</v>
          </cell>
          <cell r="F21">
            <v>2</v>
          </cell>
          <cell r="G21">
            <v>1</v>
          </cell>
          <cell r="H21">
            <v>1</v>
          </cell>
          <cell r="I21">
            <v>1</v>
          </cell>
          <cell r="J21">
            <v>2</v>
          </cell>
          <cell r="K21">
            <v>2</v>
          </cell>
          <cell r="L21">
            <v>1</v>
          </cell>
          <cell r="M21">
            <v>3</v>
          </cell>
          <cell r="N21">
            <v>0</v>
          </cell>
          <cell r="O21">
            <v>1</v>
          </cell>
          <cell r="P21">
            <v>1</v>
          </cell>
          <cell r="Q21">
            <v>1</v>
          </cell>
          <cell r="R21">
            <v>2</v>
          </cell>
          <cell r="S21">
            <v>1</v>
          </cell>
          <cell r="T21">
            <v>1</v>
          </cell>
          <cell r="U21">
            <v>3</v>
          </cell>
          <cell r="V21">
            <v>1</v>
          </cell>
          <cell r="W21">
            <v>3</v>
          </cell>
          <cell r="X21">
            <v>1</v>
          </cell>
          <cell r="Y21">
            <v>2</v>
          </cell>
          <cell r="Z21">
            <v>1</v>
          </cell>
          <cell r="AA21">
            <v>3</v>
          </cell>
          <cell r="AB21">
            <v>1</v>
          </cell>
          <cell r="AC21">
            <v>1</v>
          </cell>
          <cell r="AD21">
            <v>2</v>
          </cell>
          <cell r="AE21">
            <v>2</v>
          </cell>
          <cell r="AF21">
            <v>0</v>
          </cell>
          <cell r="AG21">
            <v>2</v>
          </cell>
          <cell r="AH21">
            <v>1</v>
          </cell>
          <cell r="AI21">
            <v>2</v>
          </cell>
          <cell r="AJ21">
            <v>0</v>
          </cell>
          <cell r="AK21">
            <v>2</v>
          </cell>
          <cell r="AL21">
            <v>1</v>
          </cell>
          <cell r="AM21">
            <v>2</v>
          </cell>
          <cell r="AN21">
            <v>1</v>
          </cell>
          <cell r="AO21">
            <v>0</v>
          </cell>
          <cell r="AP21">
            <v>3</v>
          </cell>
          <cell r="AQ21">
            <v>2</v>
          </cell>
          <cell r="AR21">
            <v>0</v>
          </cell>
          <cell r="AS21">
            <v>1</v>
          </cell>
          <cell r="AT21">
            <v>2</v>
          </cell>
          <cell r="AU21">
            <v>2</v>
          </cell>
          <cell r="AV21">
            <v>1</v>
          </cell>
          <cell r="AW21">
            <v>4</v>
          </cell>
          <cell r="AX21">
            <v>0</v>
          </cell>
          <cell r="AY21">
            <v>2</v>
          </cell>
          <cell r="AZ21">
            <v>0</v>
          </cell>
          <cell r="BA21">
            <v>0</v>
          </cell>
          <cell r="BB21">
            <v>2</v>
          </cell>
          <cell r="BC21">
            <v>2</v>
          </cell>
          <cell r="BD21">
            <v>1</v>
          </cell>
          <cell r="BE21">
            <v>3</v>
          </cell>
          <cell r="BF21">
            <v>1</v>
          </cell>
          <cell r="BG21">
            <v>1</v>
          </cell>
          <cell r="BH21">
            <v>2</v>
          </cell>
          <cell r="BI21">
            <v>3</v>
          </cell>
          <cell r="BJ21">
            <v>0</v>
          </cell>
          <cell r="BK21">
            <v>2</v>
          </cell>
          <cell r="BL21">
            <v>1</v>
          </cell>
          <cell r="BM21">
            <v>0</v>
          </cell>
          <cell r="BN21">
            <v>1</v>
          </cell>
          <cell r="BO21">
            <v>2</v>
          </cell>
          <cell r="BP21">
            <v>1</v>
          </cell>
          <cell r="BQ21">
            <v>0</v>
          </cell>
          <cell r="BR21">
            <v>0</v>
          </cell>
          <cell r="BS21">
            <v>3</v>
          </cell>
          <cell r="BT21">
            <v>0</v>
          </cell>
          <cell r="BU21">
            <v>1</v>
          </cell>
          <cell r="BV21">
            <v>2</v>
          </cell>
          <cell r="BW21">
            <v>0</v>
          </cell>
          <cell r="BX21">
            <v>2</v>
          </cell>
          <cell r="BY21">
            <v>1</v>
          </cell>
          <cell r="BZ21">
            <v>1</v>
          </cell>
          <cell r="CA21">
            <v>1</v>
          </cell>
          <cell r="CB21">
            <v>2</v>
          </cell>
          <cell r="CC21">
            <v>1</v>
          </cell>
          <cell r="CD21">
            <v>2</v>
          </cell>
          <cell r="CE21">
            <v>1</v>
          </cell>
          <cell r="CF21">
            <v>3</v>
          </cell>
          <cell r="CG21">
            <v>1</v>
          </cell>
          <cell r="CH21">
            <v>1</v>
          </cell>
          <cell r="CI21">
            <v>0</v>
          </cell>
          <cell r="CJ21">
            <v>4</v>
          </cell>
          <cell r="CK21">
            <v>2</v>
          </cell>
          <cell r="CL21">
            <v>1</v>
          </cell>
          <cell r="CM21">
            <v>1</v>
          </cell>
          <cell r="CN21">
            <v>2</v>
          </cell>
          <cell r="CO21">
            <v>1</v>
          </cell>
          <cell r="CP21">
            <v>2</v>
          </cell>
          <cell r="CQ21">
            <v>2</v>
          </cell>
          <cell r="CR21">
            <v>2</v>
          </cell>
          <cell r="CS21">
            <v>1</v>
          </cell>
          <cell r="CT21">
            <v>2</v>
          </cell>
          <cell r="CU21">
            <v>2</v>
          </cell>
          <cell r="CV21">
            <v>1</v>
          </cell>
          <cell r="CW21">
            <v>1</v>
          </cell>
          <cell r="CX21">
            <v>1</v>
          </cell>
          <cell r="CY21">
            <v>2</v>
          </cell>
          <cell r="CZ21">
            <v>1</v>
          </cell>
          <cell r="DA21">
            <v>2</v>
          </cell>
          <cell r="DB21">
            <v>1</v>
          </cell>
          <cell r="DC21">
            <v>3</v>
          </cell>
          <cell r="DD21">
            <v>1</v>
          </cell>
          <cell r="DE21">
            <v>1</v>
          </cell>
          <cell r="DF21">
            <v>1</v>
          </cell>
          <cell r="DG21">
            <v>3</v>
          </cell>
          <cell r="DH21">
            <v>1</v>
          </cell>
          <cell r="DI21">
            <v>1</v>
          </cell>
          <cell r="DJ21">
            <v>1</v>
          </cell>
          <cell r="DK21">
            <v>2</v>
          </cell>
          <cell r="DL21">
            <v>1</v>
          </cell>
          <cell r="DM21">
            <v>2</v>
          </cell>
          <cell r="DN21">
            <v>2</v>
          </cell>
          <cell r="DO21">
            <v>3</v>
          </cell>
          <cell r="DP21">
            <v>1</v>
          </cell>
          <cell r="DQ21">
            <v>2</v>
          </cell>
          <cell r="DR21">
            <v>1</v>
          </cell>
          <cell r="DS21">
            <v>1</v>
          </cell>
          <cell r="DT21">
            <v>1</v>
          </cell>
          <cell r="DU21">
            <v>1</v>
          </cell>
          <cell r="DV21">
            <v>1</v>
          </cell>
          <cell r="DW21">
            <v>1</v>
          </cell>
          <cell r="DX21">
            <v>2</v>
          </cell>
          <cell r="DY21">
            <v>1</v>
          </cell>
          <cell r="DZ21">
            <v>2</v>
          </cell>
        </row>
        <row r="22">
          <cell r="A22">
            <v>18</v>
          </cell>
          <cell r="B22" t="str">
            <v>Andres Harker</v>
          </cell>
          <cell r="C22">
            <v>2</v>
          </cell>
          <cell r="D22">
            <v>1</v>
          </cell>
          <cell r="E22">
            <v>1</v>
          </cell>
          <cell r="F22">
            <v>2</v>
          </cell>
          <cell r="G22">
            <v>1</v>
          </cell>
          <cell r="H22">
            <v>2</v>
          </cell>
          <cell r="I22">
            <v>2</v>
          </cell>
          <cell r="J22">
            <v>2</v>
          </cell>
          <cell r="K22">
            <v>3</v>
          </cell>
          <cell r="L22">
            <v>0</v>
          </cell>
          <cell r="M22">
            <v>2</v>
          </cell>
          <cell r="N22">
            <v>1</v>
          </cell>
          <cell r="O22">
            <v>2</v>
          </cell>
          <cell r="P22">
            <v>1</v>
          </cell>
          <cell r="Q22">
            <v>2</v>
          </cell>
          <cell r="R22">
            <v>1</v>
          </cell>
          <cell r="S22">
            <v>2</v>
          </cell>
          <cell r="T22">
            <v>1</v>
          </cell>
          <cell r="U22">
            <v>2</v>
          </cell>
          <cell r="V22">
            <v>0</v>
          </cell>
          <cell r="W22">
            <v>3</v>
          </cell>
          <cell r="X22">
            <v>0</v>
          </cell>
          <cell r="Y22">
            <v>1</v>
          </cell>
          <cell r="Z22">
            <v>1</v>
          </cell>
          <cell r="AA22">
            <v>3</v>
          </cell>
          <cell r="AB22">
            <v>1</v>
          </cell>
          <cell r="AC22">
            <v>0</v>
          </cell>
          <cell r="AD22">
            <v>2</v>
          </cell>
          <cell r="AE22">
            <v>2</v>
          </cell>
          <cell r="AF22">
            <v>1</v>
          </cell>
          <cell r="AG22">
            <v>3</v>
          </cell>
          <cell r="AH22">
            <v>1</v>
          </cell>
          <cell r="AI22">
            <v>1</v>
          </cell>
          <cell r="AJ22">
            <v>1</v>
          </cell>
          <cell r="AK22">
            <v>3</v>
          </cell>
          <cell r="AL22">
            <v>0</v>
          </cell>
          <cell r="AM22">
            <v>3</v>
          </cell>
          <cell r="AN22">
            <v>0</v>
          </cell>
          <cell r="AO22">
            <v>0</v>
          </cell>
          <cell r="AP22">
            <v>3</v>
          </cell>
          <cell r="AQ22">
            <v>3</v>
          </cell>
          <cell r="AR22">
            <v>1</v>
          </cell>
          <cell r="AS22">
            <v>1</v>
          </cell>
          <cell r="AT22">
            <v>1</v>
          </cell>
          <cell r="AU22">
            <v>1</v>
          </cell>
          <cell r="AV22">
            <v>1</v>
          </cell>
          <cell r="AW22">
            <v>2</v>
          </cell>
          <cell r="AX22">
            <v>0</v>
          </cell>
          <cell r="AY22">
            <v>1</v>
          </cell>
          <cell r="AZ22">
            <v>1</v>
          </cell>
          <cell r="BA22">
            <v>1</v>
          </cell>
          <cell r="BB22">
            <v>1</v>
          </cell>
          <cell r="BC22">
            <v>3</v>
          </cell>
          <cell r="BD22">
            <v>0</v>
          </cell>
          <cell r="BE22">
            <v>3</v>
          </cell>
          <cell r="BF22">
            <v>1</v>
          </cell>
          <cell r="BG22">
            <v>1</v>
          </cell>
          <cell r="BH22">
            <v>1</v>
          </cell>
          <cell r="BI22">
            <v>3</v>
          </cell>
          <cell r="BJ22">
            <v>0</v>
          </cell>
          <cell r="BK22">
            <v>1</v>
          </cell>
          <cell r="BL22">
            <v>1</v>
          </cell>
          <cell r="BM22">
            <v>2</v>
          </cell>
          <cell r="BN22">
            <v>2</v>
          </cell>
          <cell r="BO22">
            <v>2</v>
          </cell>
          <cell r="BP22">
            <v>2</v>
          </cell>
          <cell r="BQ22">
            <v>1</v>
          </cell>
          <cell r="BR22">
            <v>3</v>
          </cell>
          <cell r="BS22">
            <v>2</v>
          </cell>
          <cell r="BT22">
            <v>0</v>
          </cell>
          <cell r="BU22">
            <v>1</v>
          </cell>
          <cell r="BV22">
            <v>3</v>
          </cell>
          <cell r="BW22">
            <v>0</v>
          </cell>
          <cell r="BX22">
            <v>2</v>
          </cell>
          <cell r="BY22">
            <v>1</v>
          </cell>
          <cell r="BZ22">
            <v>2</v>
          </cell>
          <cell r="CA22">
            <v>1</v>
          </cell>
          <cell r="CB22">
            <v>1</v>
          </cell>
          <cell r="CC22">
            <v>2</v>
          </cell>
          <cell r="CD22">
            <v>2</v>
          </cell>
          <cell r="CE22">
            <v>0</v>
          </cell>
          <cell r="CF22">
            <v>4</v>
          </cell>
          <cell r="CG22">
            <v>2</v>
          </cell>
          <cell r="CH22">
            <v>1</v>
          </cell>
          <cell r="CI22">
            <v>0</v>
          </cell>
          <cell r="CJ22">
            <v>3</v>
          </cell>
          <cell r="CK22">
            <v>1</v>
          </cell>
          <cell r="CL22">
            <v>1</v>
          </cell>
          <cell r="CM22">
            <v>1</v>
          </cell>
          <cell r="CN22">
            <v>2</v>
          </cell>
          <cell r="CO22">
            <v>1</v>
          </cell>
          <cell r="CP22">
            <v>1</v>
          </cell>
          <cell r="CQ22">
            <v>2</v>
          </cell>
          <cell r="CR22">
            <v>2</v>
          </cell>
          <cell r="CS22">
            <v>1</v>
          </cell>
          <cell r="CT22">
            <v>0</v>
          </cell>
          <cell r="CU22">
            <v>2</v>
          </cell>
          <cell r="CV22">
            <v>1</v>
          </cell>
          <cell r="CW22">
            <v>1</v>
          </cell>
          <cell r="CX22">
            <v>1</v>
          </cell>
          <cell r="CY22">
            <v>3</v>
          </cell>
          <cell r="CZ22">
            <v>0</v>
          </cell>
          <cell r="DA22">
            <v>2</v>
          </cell>
          <cell r="DB22">
            <v>1</v>
          </cell>
          <cell r="DC22">
            <v>3</v>
          </cell>
          <cell r="DD22">
            <v>1</v>
          </cell>
          <cell r="DE22">
            <v>1</v>
          </cell>
          <cell r="DF22">
            <v>1</v>
          </cell>
          <cell r="DG22">
            <v>3</v>
          </cell>
          <cell r="DH22">
            <v>0</v>
          </cell>
          <cell r="DI22">
            <v>1</v>
          </cell>
          <cell r="DJ22">
            <v>2</v>
          </cell>
          <cell r="DK22">
            <v>2</v>
          </cell>
          <cell r="DL22">
            <v>1</v>
          </cell>
          <cell r="DM22">
            <v>2</v>
          </cell>
          <cell r="DN22">
            <v>1</v>
          </cell>
          <cell r="DO22">
            <v>2</v>
          </cell>
          <cell r="DP22">
            <v>1</v>
          </cell>
          <cell r="DQ22">
            <v>2</v>
          </cell>
          <cell r="DR22">
            <v>1</v>
          </cell>
          <cell r="DS22">
            <v>1</v>
          </cell>
          <cell r="DT22">
            <v>2</v>
          </cell>
          <cell r="DU22">
            <v>1</v>
          </cell>
          <cell r="DV22">
            <v>2</v>
          </cell>
          <cell r="DW22">
            <v>1</v>
          </cell>
          <cell r="DX22">
            <v>2</v>
          </cell>
          <cell r="DY22">
            <v>1</v>
          </cell>
          <cell r="DZ22">
            <v>2</v>
          </cell>
        </row>
        <row r="23">
          <cell r="A23">
            <v>19</v>
          </cell>
          <cell r="B23" t="str">
            <v>John Rojas</v>
          </cell>
          <cell r="C23">
            <v>2</v>
          </cell>
          <cell r="D23">
            <v>0</v>
          </cell>
          <cell r="E23">
            <v>1</v>
          </cell>
          <cell r="F23">
            <v>2</v>
          </cell>
          <cell r="G23">
            <v>2</v>
          </cell>
          <cell r="H23">
            <v>0</v>
          </cell>
          <cell r="I23">
            <v>2</v>
          </cell>
          <cell r="J23">
            <v>2</v>
          </cell>
          <cell r="K23">
            <v>2</v>
          </cell>
          <cell r="L23">
            <v>1</v>
          </cell>
          <cell r="M23">
            <v>3</v>
          </cell>
          <cell r="N23">
            <v>0</v>
          </cell>
          <cell r="O23">
            <v>2</v>
          </cell>
          <cell r="P23">
            <v>0</v>
          </cell>
          <cell r="Q23">
            <v>2</v>
          </cell>
          <cell r="R23">
            <v>0</v>
          </cell>
          <cell r="S23">
            <v>1</v>
          </cell>
          <cell r="T23">
            <v>0</v>
          </cell>
          <cell r="U23">
            <v>3</v>
          </cell>
          <cell r="V23">
            <v>0</v>
          </cell>
          <cell r="W23">
            <v>2</v>
          </cell>
          <cell r="X23">
            <v>0</v>
          </cell>
          <cell r="Y23">
            <v>2</v>
          </cell>
          <cell r="Z23">
            <v>0</v>
          </cell>
          <cell r="AA23">
            <v>2</v>
          </cell>
          <cell r="AB23">
            <v>1</v>
          </cell>
          <cell r="AC23">
            <v>0</v>
          </cell>
          <cell r="AD23">
            <v>2</v>
          </cell>
          <cell r="AE23">
            <v>2</v>
          </cell>
          <cell r="AF23">
            <v>1</v>
          </cell>
          <cell r="AG23">
            <v>2</v>
          </cell>
          <cell r="AH23">
            <v>0</v>
          </cell>
          <cell r="AI23">
            <v>3</v>
          </cell>
          <cell r="AJ23">
            <v>0</v>
          </cell>
          <cell r="AK23">
            <v>3</v>
          </cell>
          <cell r="AL23">
            <v>1</v>
          </cell>
          <cell r="AM23">
            <v>2</v>
          </cell>
          <cell r="AN23">
            <v>0</v>
          </cell>
          <cell r="AO23">
            <v>0</v>
          </cell>
          <cell r="AP23">
            <v>2</v>
          </cell>
          <cell r="AQ23">
            <v>2</v>
          </cell>
          <cell r="AR23">
            <v>1</v>
          </cell>
          <cell r="AS23">
            <v>2</v>
          </cell>
          <cell r="AT23">
            <v>0</v>
          </cell>
          <cell r="AU23">
            <v>3</v>
          </cell>
          <cell r="AV23">
            <v>1</v>
          </cell>
          <cell r="AW23">
            <v>3</v>
          </cell>
          <cell r="AX23">
            <v>0</v>
          </cell>
          <cell r="AY23">
            <v>2</v>
          </cell>
          <cell r="AZ23">
            <v>0</v>
          </cell>
          <cell r="BA23">
            <v>0</v>
          </cell>
          <cell r="BB23">
            <v>1</v>
          </cell>
          <cell r="BC23">
            <v>2</v>
          </cell>
          <cell r="BD23">
            <v>1</v>
          </cell>
          <cell r="BE23">
            <v>3</v>
          </cell>
          <cell r="BF23">
            <v>0</v>
          </cell>
          <cell r="BG23">
            <v>1</v>
          </cell>
          <cell r="BH23">
            <v>2</v>
          </cell>
          <cell r="BI23">
            <v>4</v>
          </cell>
          <cell r="BJ23">
            <v>0</v>
          </cell>
          <cell r="BK23">
            <v>0</v>
          </cell>
          <cell r="BL23">
            <v>2</v>
          </cell>
          <cell r="BM23">
            <v>0</v>
          </cell>
          <cell r="BN23">
            <v>2</v>
          </cell>
          <cell r="BO23">
            <v>2</v>
          </cell>
          <cell r="BP23">
            <v>1</v>
          </cell>
          <cell r="BQ23">
            <v>0</v>
          </cell>
          <cell r="BR23">
            <v>2</v>
          </cell>
          <cell r="BS23">
            <v>2</v>
          </cell>
          <cell r="BT23">
            <v>0</v>
          </cell>
          <cell r="BU23">
            <v>0</v>
          </cell>
          <cell r="BV23">
            <v>3</v>
          </cell>
          <cell r="BW23">
            <v>1</v>
          </cell>
          <cell r="BX23">
            <v>3</v>
          </cell>
          <cell r="BY23">
            <v>0</v>
          </cell>
          <cell r="BZ23">
            <v>1</v>
          </cell>
          <cell r="CA23">
            <v>1</v>
          </cell>
          <cell r="CB23">
            <v>3</v>
          </cell>
          <cell r="CC23">
            <v>0</v>
          </cell>
          <cell r="CD23">
            <v>2</v>
          </cell>
          <cell r="CE23">
            <v>0</v>
          </cell>
          <cell r="CF23">
            <v>3</v>
          </cell>
          <cell r="CG23">
            <v>2</v>
          </cell>
          <cell r="CH23">
            <v>1</v>
          </cell>
          <cell r="CI23">
            <v>0</v>
          </cell>
          <cell r="CJ23">
            <v>4</v>
          </cell>
          <cell r="CK23">
            <v>2</v>
          </cell>
          <cell r="CL23">
            <v>1</v>
          </cell>
          <cell r="CM23">
            <v>1</v>
          </cell>
          <cell r="CN23">
            <v>2</v>
          </cell>
          <cell r="CO23">
            <v>1</v>
          </cell>
          <cell r="CP23">
            <v>3</v>
          </cell>
          <cell r="CQ23">
            <v>2</v>
          </cell>
          <cell r="CR23">
            <v>1</v>
          </cell>
          <cell r="CS23">
            <v>2</v>
          </cell>
          <cell r="CT23">
            <v>1</v>
          </cell>
          <cell r="CU23">
            <v>2</v>
          </cell>
          <cell r="CV23">
            <v>1</v>
          </cell>
          <cell r="CW23">
            <v>2</v>
          </cell>
          <cell r="CX23">
            <v>1</v>
          </cell>
          <cell r="CY23">
            <v>2</v>
          </cell>
          <cell r="CZ23">
            <v>0</v>
          </cell>
          <cell r="DA23">
            <v>2</v>
          </cell>
          <cell r="DB23">
            <v>1</v>
          </cell>
          <cell r="DC23">
            <v>3</v>
          </cell>
          <cell r="DD23">
            <v>0</v>
          </cell>
          <cell r="DE23">
            <v>2</v>
          </cell>
          <cell r="DF23">
            <v>0</v>
          </cell>
          <cell r="DG23">
            <v>2</v>
          </cell>
          <cell r="DH23">
            <v>0</v>
          </cell>
          <cell r="DI23">
            <v>2</v>
          </cell>
          <cell r="DJ23">
            <v>1</v>
          </cell>
          <cell r="DK23">
            <v>0</v>
          </cell>
          <cell r="DL23">
            <v>1</v>
          </cell>
          <cell r="DM23">
            <v>2</v>
          </cell>
          <cell r="DN23">
            <v>0</v>
          </cell>
          <cell r="DO23">
            <v>1</v>
          </cell>
          <cell r="DP23">
            <v>1</v>
          </cell>
          <cell r="DQ23">
            <v>1</v>
          </cell>
          <cell r="DR23">
            <v>2</v>
          </cell>
          <cell r="DS23">
            <v>0</v>
          </cell>
          <cell r="DT23">
            <v>2</v>
          </cell>
          <cell r="DU23">
            <v>2</v>
          </cell>
          <cell r="DV23">
            <v>1</v>
          </cell>
          <cell r="DW23">
            <v>1</v>
          </cell>
          <cell r="DX23">
            <v>3</v>
          </cell>
          <cell r="DY23">
            <v>1</v>
          </cell>
          <cell r="DZ23">
            <v>2</v>
          </cell>
        </row>
        <row r="24">
          <cell r="A24">
            <v>20</v>
          </cell>
          <cell r="B24" t="str">
            <v>Alfredo Gómez</v>
          </cell>
          <cell r="C24">
            <v>3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3</v>
          </cell>
          <cell r="I24">
            <v>1</v>
          </cell>
          <cell r="J24">
            <v>1</v>
          </cell>
          <cell r="K24">
            <v>3</v>
          </cell>
          <cell r="L24">
            <v>0</v>
          </cell>
          <cell r="M24">
            <v>3</v>
          </cell>
          <cell r="N24">
            <v>0</v>
          </cell>
          <cell r="O24">
            <v>1</v>
          </cell>
          <cell r="P24">
            <v>2</v>
          </cell>
          <cell r="Q24">
            <v>1</v>
          </cell>
          <cell r="R24">
            <v>3</v>
          </cell>
          <cell r="S24">
            <v>1</v>
          </cell>
          <cell r="T24">
            <v>2</v>
          </cell>
          <cell r="U24">
            <v>4</v>
          </cell>
          <cell r="V24">
            <v>1</v>
          </cell>
          <cell r="W24">
            <v>3</v>
          </cell>
          <cell r="X24">
            <v>0</v>
          </cell>
          <cell r="Y24">
            <v>1</v>
          </cell>
          <cell r="Z24">
            <v>2</v>
          </cell>
          <cell r="AA24">
            <v>4</v>
          </cell>
          <cell r="AB24">
            <v>0</v>
          </cell>
          <cell r="AC24">
            <v>0</v>
          </cell>
          <cell r="AD24">
            <v>5</v>
          </cell>
          <cell r="AE24">
            <v>3</v>
          </cell>
          <cell r="AF24">
            <v>1</v>
          </cell>
          <cell r="AG24">
            <v>2</v>
          </cell>
          <cell r="AH24">
            <v>0</v>
          </cell>
          <cell r="AI24">
            <v>2</v>
          </cell>
          <cell r="AJ24">
            <v>1</v>
          </cell>
          <cell r="AK24">
            <v>3</v>
          </cell>
          <cell r="AL24">
            <v>0</v>
          </cell>
          <cell r="AM24">
            <v>5</v>
          </cell>
          <cell r="AN24">
            <v>0</v>
          </cell>
          <cell r="AO24">
            <v>0</v>
          </cell>
          <cell r="AP24">
            <v>4</v>
          </cell>
          <cell r="AQ24">
            <v>2</v>
          </cell>
          <cell r="AR24">
            <v>0</v>
          </cell>
          <cell r="AS24">
            <v>4</v>
          </cell>
          <cell r="AT24">
            <v>0</v>
          </cell>
          <cell r="AU24">
            <v>2</v>
          </cell>
          <cell r="AV24">
            <v>1</v>
          </cell>
          <cell r="AW24">
            <v>2</v>
          </cell>
          <cell r="AX24">
            <v>0</v>
          </cell>
          <cell r="AY24">
            <v>3</v>
          </cell>
          <cell r="AZ24">
            <v>1</v>
          </cell>
          <cell r="BA24">
            <v>3</v>
          </cell>
          <cell r="BB24">
            <v>1</v>
          </cell>
          <cell r="BC24">
            <v>3</v>
          </cell>
          <cell r="BD24">
            <v>0</v>
          </cell>
          <cell r="BE24">
            <v>3</v>
          </cell>
          <cell r="BF24">
            <v>0</v>
          </cell>
          <cell r="BG24">
            <v>1</v>
          </cell>
          <cell r="BH24">
            <v>2</v>
          </cell>
          <cell r="BI24">
            <v>5</v>
          </cell>
          <cell r="BJ24">
            <v>0</v>
          </cell>
          <cell r="BK24">
            <v>2</v>
          </cell>
          <cell r="BL24">
            <v>0</v>
          </cell>
          <cell r="BM24">
            <v>1</v>
          </cell>
          <cell r="BN24">
            <v>1</v>
          </cell>
          <cell r="BO24">
            <v>2</v>
          </cell>
          <cell r="BP24">
            <v>2</v>
          </cell>
          <cell r="BQ24">
            <v>1</v>
          </cell>
          <cell r="BR24">
            <v>2</v>
          </cell>
          <cell r="BS24">
            <v>4</v>
          </cell>
          <cell r="BT24">
            <v>0</v>
          </cell>
          <cell r="BU24">
            <v>0</v>
          </cell>
          <cell r="BV24">
            <v>3</v>
          </cell>
          <cell r="BW24">
            <v>1</v>
          </cell>
          <cell r="BX24">
            <v>1</v>
          </cell>
          <cell r="BY24">
            <v>1</v>
          </cell>
          <cell r="BZ24">
            <v>2</v>
          </cell>
          <cell r="CA24">
            <v>1</v>
          </cell>
          <cell r="CB24">
            <v>1</v>
          </cell>
          <cell r="CC24">
            <v>0</v>
          </cell>
          <cell r="CD24">
            <v>1</v>
          </cell>
          <cell r="CE24">
            <v>0</v>
          </cell>
          <cell r="CF24">
            <v>4</v>
          </cell>
          <cell r="CG24">
            <v>1</v>
          </cell>
          <cell r="CH24">
            <v>1</v>
          </cell>
          <cell r="CI24">
            <v>0</v>
          </cell>
          <cell r="CJ24">
            <v>3</v>
          </cell>
          <cell r="CK24">
            <v>1</v>
          </cell>
          <cell r="CL24">
            <v>2</v>
          </cell>
          <cell r="CM24">
            <v>1</v>
          </cell>
          <cell r="CN24">
            <v>2</v>
          </cell>
          <cell r="CO24">
            <v>0</v>
          </cell>
          <cell r="CP24">
            <v>2</v>
          </cell>
          <cell r="CQ24">
            <v>2</v>
          </cell>
          <cell r="CR24">
            <v>2</v>
          </cell>
          <cell r="CS24">
            <v>1</v>
          </cell>
          <cell r="CT24">
            <v>1</v>
          </cell>
          <cell r="CU24">
            <v>1</v>
          </cell>
          <cell r="CV24">
            <v>2</v>
          </cell>
          <cell r="CW24">
            <v>2</v>
          </cell>
          <cell r="CX24">
            <v>1</v>
          </cell>
          <cell r="CY24">
            <v>2</v>
          </cell>
          <cell r="CZ24">
            <v>0</v>
          </cell>
          <cell r="DA24">
            <v>3</v>
          </cell>
          <cell r="DB24">
            <v>1</v>
          </cell>
          <cell r="DC24">
            <v>2</v>
          </cell>
          <cell r="DD24">
            <v>0</v>
          </cell>
          <cell r="DE24">
            <v>0</v>
          </cell>
          <cell r="DF24">
            <v>1</v>
          </cell>
          <cell r="DG24">
            <v>3</v>
          </cell>
          <cell r="DH24">
            <v>0</v>
          </cell>
          <cell r="DI24">
            <v>1</v>
          </cell>
          <cell r="DJ24">
            <v>0</v>
          </cell>
          <cell r="DK24">
            <v>2</v>
          </cell>
          <cell r="DL24">
            <v>1</v>
          </cell>
          <cell r="DM24">
            <v>3</v>
          </cell>
          <cell r="DN24">
            <v>1</v>
          </cell>
          <cell r="DO24">
            <v>1</v>
          </cell>
          <cell r="DP24">
            <v>1</v>
          </cell>
          <cell r="DQ24">
            <v>0</v>
          </cell>
          <cell r="DR24">
            <v>2</v>
          </cell>
          <cell r="DS24">
            <v>0</v>
          </cell>
          <cell r="DT24">
            <v>3</v>
          </cell>
          <cell r="DU24">
            <v>1</v>
          </cell>
          <cell r="DV24">
            <v>2</v>
          </cell>
          <cell r="DW24">
            <v>1</v>
          </cell>
          <cell r="DX24">
            <v>3</v>
          </cell>
          <cell r="DY24">
            <v>2</v>
          </cell>
          <cell r="DZ24">
            <v>0</v>
          </cell>
        </row>
        <row r="25">
          <cell r="A25">
            <v>21</v>
          </cell>
          <cell r="B25" t="str">
            <v>Daniel Escobar</v>
          </cell>
          <cell r="C25">
            <v>1</v>
          </cell>
          <cell r="D25">
            <v>0</v>
          </cell>
          <cell r="E25">
            <v>2</v>
          </cell>
          <cell r="F25">
            <v>2</v>
          </cell>
          <cell r="G25">
            <v>2</v>
          </cell>
          <cell r="H25">
            <v>1</v>
          </cell>
          <cell r="I25">
            <v>3</v>
          </cell>
          <cell r="J25">
            <v>2</v>
          </cell>
          <cell r="K25">
            <v>2</v>
          </cell>
          <cell r="L25">
            <v>0</v>
          </cell>
          <cell r="M25">
            <v>2</v>
          </cell>
          <cell r="N25">
            <v>0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0</v>
          </cell>
          <cell r="T25">
            <v>1</v>
          </cell>
          <cell r="U25">
            <v>2</v>
          </cell>
          <cell r="V25">
            <v>2</v>
          </cell>
          <cell r="W25">
            <v>3</v>
          </cell>
          <cell r="X25">
            <v>1</v>
          </cell>
          <cell r="Y25">
            <v>1</v>
          </cell>
          <cell r="Z25">
            <v>2</v>
          </cell>
          <cell r="AA25">
            <v>3</v>
          </cell>
          <cell r="AB25">
            <v>1</v>
          </cell>
          <cell r="AC25">
            <v>0</v>
          </cell>
          <cell r="AD25">
            <v>2</v>
          </cell>
          <cell r="AE25">
            <v>2</v>
          </cell>
          <cell r="AF25">
            <v>1</v>
          </cell>
          <cell r="AG25">
            <v>2</v>
          </cell>
          <cell r="AH25">
            <v>0</v>
          </cell>
          <cell r="AI25">
            <v>1</v>
          </cell>
          <cell r="AJ25">
            <v>2</v>
          </cell>
          <cell r="AK25">
            <v>2</v>
          </cell>
          <cell r="AL25">
            <v>0</v>
          </cell>
          <cell r="AM25">
            <v>3</v>
          </cell>
          <cell r="AN25">
            <v>1</v>
          </cell>
          <cell r="AO25">
            <v>1</v>
          </cell>
          <cell r="AP25">
            <v>3</v>
          </cell>
          <cell r="AQ25">
            <v>3</v>
          </cell>
          <cell r="AR25">
            <v>0</v>
          </cell>
          <cell r="AS25">
            <v>2</v>
          </cell>
          <cell r="AT25">
            <v>1</v>
          </cell>
          <cell r="AU25">
            <v>1</v>
          </cell>
          <cell r="AV25">
            <v>1</v>
          </cell>
          <cell r="AW25">
            <v>2</v>
          </cell>
          <cell r="AX25">
            <v>0</v>
          </cell>
          <cell r="AY25">
            <v>2</v>
          </cell>
          <cell r="AZ25">
            <v>1</v>
          </cell>
          <cell r="BA25">
            <v>0</v>
          </cell>
          <cell r="BB25">
            <v>2</v>
          </cell>
          <cell r="BC25">
            <v>2</v>
          </cell>
          <cell r="BD25">
            <v>1</v>
          </cell>
          <cell r="BE25">
            <v>2</v>
          </cell>
          <cell r="BF25">
            <v>0</v>
          </cell>
          <cell r="BG25">
            <v>1</v>
          </cell>
          <cell r="BH25">
            <v>3</v>
          </cell>
          <cell r="BI25">
            <v>3</v>
          </cell>
          <cell r="BJ25">
            <v>1</v>
          </cell>
          <cell r="BK25">
            <v>1</v>
          </cell>
          <cell r="BL25">
            <v>2</v>
          </cell>
          <cell r="BM25">
            <v>1</v>
          </cell>
          <cell r="BN25">
            <v>3</v>
          </cell>
          <cell r="BO25">
            <v>1</v>
          </cell>
          <cell r="BP25">
            <v>0</v>
          </cell>
          <cell r="BQ25">
            <v>0</v>
          </cell>
          <cell r="BR25">
            <v>2</v>
          </cell>
          <cell r="BS25">
            <v>2</v>
          </cell>
          <cell r="BT25">
            <v>2</v>
          </cell>
          <cell r="BU25">
            <v>0</v>
          </cell>
          <cell r="BV25">
            <v>3</v>
          </cell>
          <cell r="BW25">
            <v>1</v>
          </cell>
          <cell r="BX25">
            <v>4</v>
          </cell>
          <cell r="BY25">
            <v>0</v>
          </cell>
          <cell r="BZ25">
            <v>1</v>
          </cell>
          <cell r="CA25">
            <v>2</v>
          </cell>
          <cell r="CB25">
            <v>2</v>
          </cell>
          <cell r="CC25">
            <v>1</v>
          </cell>
          <cell r="CD25">
            <v>2</v>
          </cell>
          <cell r="CE25">
            <v>0</v>
          </cell>
          <cell r="CF25">
            <v>3</v>
          </cell>
          <cell r="CG25">
            <v>1</v>
          </cell>
          <cell r="CH25">
            <v>2</v>
          </cell>
          <cell r="CI25">
            <v>0</v>
          </cell>
          <cell r="CJ25">
            <v>4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0</v>
          </cell>
          <cell r="CP25">
            <v>0</v>
          </cell>
          <cell r="CQ25">
            <v>3</v>
          </cell>
          <cell r="CR25">
            <v>3</v>
          </cell>
          <cell r="CS25">
            <v>1</v>
          </cell>
          <cell r="CT25">
            <v>1</v>
          </cell>
          <cell r="CU25">
            <v>2</v>
          </cell>
          <cell r="CV25">
            <v>1</v>
          </cell>
          <cell r="CW25">
            <v>2</v>
          </cell>
          <cell r="CX25">
            <v>3</v>
          </cell>
          <cell r="CY25">
            <v>2</v>
          </cell>
          <cell r="CZ25">
            <v>0</v>
          </cell>
          <cell r="DA25">
            <v>1</v>
          </cell>
          <cell r="DB25">
            <v>0</v>
          </cell>
          <cell r="DC25">
            <v>3</v>
          </cell>
          <cell r="DD25">
            <v>0</v>
          </cell>
          <cell r="DE25">
            <v>2</v>
          </cell>
          <cell r="DF25">
            <v>1</v>
          </cell>
          <cell r="DG25">
            <v>3</v>
          </cell>
          <cell r="DH25">
            <v>1</v>
          </cell>
          <cell r="DI25">
            <v>2</v>
          </cell>
          <cell r="DJ25">
            <v>1</v>
          </cell>
          <cell r="DK25">
            <v>1</v>
          </cell>
          <cell r="DL25">
            <v>0</v>
          </cell>
          <cell r="DM25">
            <v>2</v>
          </cell>
          <cell r="DN25">
            <v>0</v>
          </cell>
          <cell r="DO25">
            <v>1</v>
          </cell>
          <cell r="DP25">
            <v>0</v>
          </cell>
          <cell r="DQ25">
            <v>1</v>
          </cell>
          <cell r="DR25">
            <v>2</v>
          </cell>
          <cell r="DS25">
            <v>1</v>
          </cell>
          <cell r="DT25">
            <v>2</v>
          </cell>
          <cell r="DU25">
            <v>1</v>
          </cell>
          <cell r="DV25">
            <v>1</v>
          </cell>
          <cell r="DW25">
            <v>0</v>
          </cell>
          <cell r="DX25">
            <v>1</v>
          </cell>
          <cell r="DY25">
            <v>2</v>
          </cell>
          <cell r="DZ25">
            <v>0</v>
          </cell>
        </row>
        <row r="26">
          <cell r="A26">
            <v>22</v>
          </cell>
          <cell r="B26" t="str">
            <v>Juan S Araújo</v>
          </cell>
          <cell r="C26">
            <v>2</v>
          </cell>
          <cell r="D26">
            <v>1</v>
          </cell>
          <cell r="E26">
            <v>1</v>
          </cell>
          <cell r="F26">
            <v>3</v>
          </cell>
          <cell r="G26">
            <v>1</v>
          </cell>
          <cell r="H26">
            <v>1</v>
          </cell>
          <cell r="I26">
            <v>1</v>
          </cell>
          <cell r="J26">
            <v>2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  <cell r="Q26">
            <v>0</v>
          </cell>
          <cell r="R26">
            <v>1</v>
          </cell>
          <cell r="S26">
            <v>1</v>
          </cell>
          <cell r="T26">
            <v>2</v>
          </cell>
          <cell r="U26">
            <v>2</v>
          </cell>
          <cell r="V26">
            <v>2</v>
          </cell>
          <cell r="W26">
            <v>3</v>
          </cell>
          <cell r="X26">
            <v>0</v>
          </cell>
          <cell r="Y26">
            <v>1</v>
          </cell>
          <cell r="Z26">
            <v>0</v>
          </cell>
          <cell r="AA26">
            <v>3</v>
          </cell>
          <cell r="AB26">
            <v>0</v>
          </cell>
          <cell r="AC26">
            <v>0</v>
          </cell>
          <cell r="AD26">
            <v>1</v>
          </cell>
          <cell r="AE26">
            <v>1</v>
          </cell>
          <cell r="AF26">
            <v>0</v>
          </cell>
          <cell r="AG26">
            <v>1</v>
          </cell>
          <cell r="AH26">
            <v>0</v>
          </cell>
          <cell r="AI26">
            <v>1</v>
          </cell>
          <cell r="AJ26">
            <v>0</v>
          </cell>
          <cell r="AK26">
            <v>2</v>
          </cell>
          <cell r="AL26">
            <v>0</v>
          </cell>
          <cell r="AM26">
            <v>1</v>
          </cell>
          <cell r="AN26">
            <v>0</v>
          </cell>
          <cell r="AO26">
            <v>1</v>
          </cell>
          <cell r="AP26">
            <v>4</v>
          </cell>
          <cell r="AQ26">
            <v>2</v>
          </cell>
          <cell r="AR26">
            <v>1</v>
          </cell>
          <cell r="AS26">
            <v>1</v>
          </cell>
          <cell r="AT26">
            <v>0</v>
          </cell>
          <cell r="AU26">
            <v>1</v>
          </cell>
          <cell r="AV26">
            <v>1</v>
          </cell>
          <cell r="AW26">
            <v>2</v>
          </cell>
          <cell r="AX26">
            <v>1</v>
          </cell>
          <cell r="AY26">
            <v>1</v>
          </cell>
          <cell r="AZ26">
            <v>1</v>
          </cell>
          <cell r="BA26">
            <v>2</v>
          </cell>
          <cell r="BB26">
            <v>1</v>
          </cell>
          <cell r="BC26">
            <v>2</v>
          </cell>
          <cell r="BD26">
            <v>0</v>
          </cell>
          <cell r="BE26">
            <v>3</v>
          </cell>
          <cell r="BF26">
            <v>1</v>
          </cell>
          <cell r="BG26">
            <v>0</v>
          </cell>
          <cell r="BH26">
            <v>1</v>
          </cell>
          <cell r="BI26">
            <v>3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2</v>
          </cell>
          <cell r="BO26">
            <v>2</v>
          </cell>
          <cell r="BP26">
            <v>2</v>
          </cell>
          <cell r="BQ26">
            <v>1</v>
          </cell>
          <cell r="BR26">
            <v>1</v>
          </cell>
          <cell r="BS26">
            <v>3</v>
          </cell>
          <cell r="BT26">
            <v>1</v>
          </cell>
          <cell r="BU26">
            <v>1</v>
          </cell>
          <cell r="BV26">
            <v>3</v>
          </cell>
          <cell r="BW26">
            <v>1</v>
          </cell>
          <cell r="BX26">
            <v>3</v>
          </cell>
          <cell r="BY26">
            <v>1</v>
          </cell>
          <cell r="BZ26">
            <v>1</v>
          </cell>
          <cell r="CA26">
            <v>1</v>
          </cell>
          <cell r="CB26">
            <v>2</v>
          </cell>
          <cell r="CC26">
            <v>1</v>
          </cell>
          <cell r="CD26">
            <v>3</v>
          </cell>
          <cell r="CE26">
            <v>1</v>
          </cell>
          <cell r="CF26">
            <v>3</v>
          </cell>
          <cell r="CG26">
            <v>1</v>
          </cell>
          <cell r="CH26">
            <v>0</v>
          </cell>
          <cell r="CI26">
            <v>0</v>
          </cell>
          <cell r="CJ26">
            <v>2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0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0</v>
          </cell>
          <cell r="CU26">
            <v>2</v>
          </cell>
          <cell r="CV26">
            <v>1</v>
          </cell>
          <cell r="CW26">
            <v>2</v>
          </cell>
          <cell r="CX26">
            <v>2</v>
          </cell>
          <cell r="CY26">
            <v>2</v>
          </cell>
          <cell r="CZ26">
            <v>1</v>
          </cell>
          <cell r="DA26">
            <v>2</v>
          </cell>
          <cell r="DB26">
            <v>1</v>
          </cell>
          <cell r="DC26">
            <v>2</v>
          </cell>
          <cell r="DD26">
            <v>1</v>
          </cell>
          <cell r="DE26">
            <v>2</v>
          </cell>
          <cell r="DF26">
            <v>1</v>
          </cell>
          <cell r="DG26">
            <v>3</v>
          </cell>
          <cell r="DH26">
            <v>1</v>
          </cell>
          <cell r="DI26">
            <v>1</v>
          </cell>
          <cell r="DJ26">
            <v>1</v>
          </cell>
          <cell r="DK26">
            <v>2</v>
          </cell>
          <cell r="DL26">
            <v>2</v>
          </cell>
          <cell r="DM26">
            <v>2</v>
          </cell>
          <cell r="DN26">
            <v>1</v>
          </cell>
          <cell r="DO26">
            <v>4</v>
          </cell>
          <cell r="DP26">
            <v>0</v>
          </cell>
          <cell r="DQ26">
            <v>1</v>
          </cell>
          <cell r="DR26">
            <v>3</v>
          </cell>
          <cell r="DS26">
            <v>1</v>
          </cell>
          <cell r="DT26">
            <v>2</v>
          </cell>
          <cell r="DU26">
            <v>2</v>
          </cell>
          <cell r="DV26">
            <v>1</v>
          </cell>
          <cell r="DW26">
            <v>1</v>
          </cell>
          <cell r="DX26">
            <v>2</v>
          </cell>
          <cell r="DY26">
            <v>0</v>
          </cell>
          <cell r="DZ26">
            <v>3</v>
          </cell>
        </row>
        <row r="27">
          <cell r="A27">
            <v>23</v>
          </cell>
          <cell r="B27" t="str">
            <v>Natalia Uribe</v>
          </cell>
          <cell r="C27">
            <v>2</v>
          </cell>
          <cell r="D27">
            <v>0</v>
          </cell>
          <cell r="E27">
            <v>3</v>
          </cell>
          <cell r="F27">
            <v>1</v>
          </cell>
          <cell r="G27">
            <v>0</v>
          </cell>
          <cell r="H27">
            <v>0</v>
          </cell>
          <cell r="I27">
            <v>1</v>
          </cell>
          <cell r="J27">
            <v>2</v>
          </cell>
          <cell r="K27">
            <v>1</v>
          </cell>
          <cell r="L27">
            <v>0</v>
          </cell>
          <cell r="M27">
            <v>2</v>
          </cell>
          <cell r="N27">
            <v>1</v>
          </cell>
          <cell r="O27">
            <v>2</v>
          </cell>
          <cell r="P27">
            <v>1</v>
          </cell>
          <cell r="Q27">
            <v>3</v>
          </cell>
          <cell r="R27">
            <v>1</v>
          </cell>
          <cell r="S27">
            <v>1</v>
          </cell>
          <cell r="T27">
            <v>0</v>
          </cell>
          <cell r="U27">
            <v>2</v>
          </cell>
          <cell r="V27">
            <v>1</v>
          </cell>
          <cell r="W27">
            <v>2</v>
          </cell>
          <cell r="X27">
            <v>1</v>
          </cell>
          <cell r="Y27">
            <v>1</v>
          </cell>
          <cell r="Z27">
            <v>0</v>
          </cell>
          <cell r="AA27">
            <v>1</v>
          </cell>
          <cell r="AB27">
            <v>0</v>
          </cell>
          <cell r="AC27">
            <v>0</v>
          </cell>
          <cell r="AD27">
            <v>2</v>
          </cell>
          <cell r="AE27">
            <v>1</v>
          </cell>
          <cell r="AF27">
            <v>1</v>
          </cell>
          <cell r="AG27">
            <v>1</v>
          </cell>
          <cell r="AH27">
            <v>0</v>
          </cell>
          <cell r="AI27">
            <v>2</v>
          </cell>
          <cell r="AJ27">
            <v>1</v>
          </cell>
          <cell r="AK27">
            <v>2</v>
          </cell>
          <cell r="AL27">
            <v>0</v>
          </cell>
          <cell r="AM27">
            <v>2</v>
          </cell>
          <cell r="AN27">
            <v>1</v>
          </cell>
          <cell r="AO27">
            <v>1</v>
          </cell>
          <cell r="AP27">
            <v>3</v>
          </cell>
          <cell r="AQ27">
            <v>2</v>
          </cell>
          <cell r="AR27">
            <v>0</v>
          </cell>
          <cell r="AS27">
            <v>1</v>
          </cell>
          <cell r="AT27">
            <v>2</v>
          </cell>
          <cell r="AU27">
            <v>2</v>
          </cell>
          <cell r="AV27">
            <v>1</v>
          </cell>
          <cell r="AW27">
            <v>3</v>
          </cell>
          <cell r="AX27">
            <v>1</v>
          </cell>
          <cell r="AY27">
            <v>2</v>
          </cell>
          <cell r="AZ27">
            <v>1</v>
          </cell>
          <cell r="BA27">
            <v>2</v>
          </cell>
          <cell r="BB27">
            <v>2</v>
          </cell>
          <cell r="BC27">
            <v>1</v>
          </cell>
          <cell r="BD27">
            <v>1</v>
          </cell>
          <cell r="BE27">
            <v>2</v>
          </cell>
          <cell r="BF27">
            <v>0</v>
          </cell>
          <cell r="BG27">
            <v>0</v>
          </cell>
          <cell r="BH27">
            <v>1</v>
          </cell>
          <cell r="BI27">
            <v>3</v>
          </cell>
          <cell r="BJ27">
            <v>0</v>
          </cell>
          <cell r="BK27">
            <v>1</v>
          </cell>
          <cell r="BL27">
            <v>2</v>
          </cell>
          <cell r="BM27">
            <v>2</v>
          </cell>
          <cell r="BN27">
            <v>1</v>
          </cell>
          <cell r="BO27">
            <v>1</v>
          </cell>
          <cell r="BP27">
            <v>2</v>
          </cell>
          <cell r="BQ27">
            <v>1</v>
          </cell>
          <cell r="BR27">
            <v>2</v>
          </cell>
          <cell r="BS27">
            <v>3</v>
          </cell>
          <cell r="BT27">
            <v>0</v>
          </cell>
          <cell r="BU27">
            <v>0</v>
          </cell>
          <cell r="BV27">
            <v>2</v>
          </cell>
          <cell r="BW27">
            <v>0</v>
          </cell>
          <cell r="BX27">
            <v>2</v>
          </cell>
          <cell r="BY27">
            <v>2</v>
          </cell>
          <cell r="BZ27">
            <v>1</v>
          </cell>
          <cell r="CA27">
            <v>2</v>
          </cell>
          <cell r="CB27">
            <v>0</v>
          </cell>
          <cell r="CC27">
            <v>1</v>
          </cell>
          <cell r="CD27">
            <v>3</v>
          </cell>
          <cell r="CE27">
            <v>0</v>
          </cell>
          <cell r="CF27">
            <v>2</v>
          </cell>
          <cell r="CG27">
            <v>1</v>
          </cell>
          <cell r="CH27">
            <v>0</v>
          </cell>
          <cell r="CI27">
            <v>0</v>
          </cell>
          <cell r="CJ27">
            <v>2</v>
          </cell>
          <cell r="CK27">
            <v>1</v>
          </cell>
          <cell r="CL27">
            <v>1</v>
          </cell>
          <cell r="CM27">
            <v>1</v>
          </cell>
          <cell r="CN27">
            <v>2</v>
          </cell>
          <cell r="CO27">
            <v>1</v>
          </cell>
          <cell r="CP27">
            <v>1</v>
          </cell>
          <cell r="CQ27">
            <v>3</v>
          </cell>
          <cell r="CR27">
            <v>1</v>
          </cell>
          <cell r="CS27">
            <v>0</v>
          </cell>
          <cell r="CT27">
            <v>1</v>
          </cell>
          <cell r="CU27">
            <v>2</v>
          </cell>
          <cell r="CV27">
            <v>0</v>
          </cell>
          <cell r="CW27">
            <v>1</v>
          </cell>
          <cell r="CX27">
            <v>2</v>
          </cell>
          <cell r="CY27">
            <v>3</v>
          </cell>
          <cell r="CZ27">
            <v>1</v>
          </cell>
          <cell r="DA27">
            <v>2</v>
          </cell>
          <cell r="DB27">
            <v>0</v>
          </cell>
          <cell r="DC27">
            <v>3</v>
          </cell>
          <cell r="DD27">
            <v>1</v>
          </cell>
          <cell r="DE27">
            <v>3</v>
          </cell>
          <cell r="DF27">
            <v>0</v>
          </cell>
          <cell r="DG27">
            <v>3</v>
          </cell>
          <cell r="DH27">
            <v>1</v>
          </cell>
          <cell r="DI27">
            <v>2</v>
          </cell>
          <cell r="DJ27">
            <v>1</v>
          </cell>
          <cell r="DK27">
            <v>1</v>
          </cell>
          <cell r="DL27">
            <v>2</v>
          </cell>
          <cell r="DM27">
            <v>2</v>
          </cell>
          <cell r="DN27">
            <v>2</v>
          </cell>
          <cell r="DO27">
            <v>2</v>
          </cell>
          <cell r="DP27">
            <v>0</v>
          </cell>
          <cell r="DQ27">
            <v>3</v>
          </cell>
          <cell r="DR27">
            <v>1</v>
          </cell>
          <cell r="DS27">
            <v>2</v>
          </cell>
          <cell r="DT27">
            <v>1</v>
          </cell>
          <cell r="DU27">
            <v>2</v>
          </cell>
          <cell r="DV27">
            <v>2</v>
          </cell>
          <cell r="DW27">
            <v>1</v>
          </cell>
          <cell r="DX27">
            <v>2</v>
          </cell>
          <cell r="DY27">
            <v>1</v>
          </cell>
          <cell r="DZ27">
            <v>2</v>
          </cell>
        </row>
        <row r="28">
          <cell r="A28">
            <v>24</v>
          </cell>
          <cell r="B28" t="str">
            <v>Camilo Russi</v>
          </cell>
          <cell r="C28">
            <v>2</v>
          </cell>
          <cell r="D28">
            <v>0</v>
          </cell>
          <cell r="E28">
            <v>0</v>
          </cell>
          <cell r="F28">
            <v>4</v>
          </cell>
          <cell r="G28">
            <v>1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0</v>
          </cell>
          <cell r="M28">
            <v>4</v>
          </cell>
          <cell r="N28">
            <v>0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0</v>
          </cell>
          <cell r="U28">
            <v>1</v>
          </cell>
          <cell r="V28">
            <v>0</v>
          </cell>
          <cell r="W28">
            <v>2</v>
          </cell>
          <cell r="X28">
            <v>0</v>
          </cell>
          <cell r="Y28">
            <v>0</v>
          </cell>
          <cell r="Z28">
            <v>0</v>
          </cell>
          <cell r="AA28">
            <v>1</v>
          </cell>
          <cell r="AB28">
            <v>0</v>
          </cell>
          <cell r="AC28">
            <v>0</v>
          </cell>
          <cell r="AD28">
            <v>1</v>
          </cell>
          <cell r="AE28">
            <v>0</v>
          </cell>
          <cell r="AF28">
            <v>0</v>
          </cell>
          <cell r="AG28">
            <v>2</v>
          </cell>
          <cell r="AH28">
            <v>1</v>
          </cell>
          <cell r="AI28">
            <v>0</v>
          </cell>
          <cell r="AJ28">
            <v>0</v>
          </cell>
          <cell r="AK28">
            <v>2</v>
          </cell>
          <cell r="AL28">
            <v>0</v>
          </cell>
          <cell r="AM28">
            <v>1</v>
          </cell>
          <cell r="AN28">
            <v>0</v>
          </cell>
          <cell r="AO28">
            <v>0</v>
          </cell>
          <cell r="AP28">
            <v>5</v>
          </cell>
          <cell r="AQ28">
            <v>1</v>
          </cell>
          <cell r="AR28">
            <v>0</v>
          </cell>
          <cell r="AS28">
            <v>1</v>
          </cell>
          <cell r="AT28">
            <v>1</v>
          </cell>
          <cell r="AU28">
            <v>2</v>
          </cell>
          <cell r="AV28">
            <v>0</v>
          </cell>
          <cell r="AW28">
            <v>3</v>
          </cell>
          <cell r="AX28">
            <v>1</v>
          </cell>
          <cell r="AY28">
            <v>1</v>
          </cell>
          <cell r="AZ28">
            <v>0</v>
          </cell>
          <cell r="BA28">
            <v>1</v>
          </cell>
          <cell r="BB28">
            <v>1</v>
          </cell>
          <cell r="BC28">
            <v>3</v>
          </cell>
          <cell r="BD28">
            <v>0</v>
          </cell>
          <cell r="BE28">
            <v>2</v>
          </cell>
          <cell r="BF28">
            <v>0</v>
          </cell>
          <cell r="BG28">
            <v>0</v>
          </cell>
          <cell r="BH28">
            <v>1</v>
          </cell>
          <cell r="BI28">
            <v>2</v>
          </cell>
          <cell r="BJ28">
            <v>0</v>
          </cell>
          <cell r="BK28">
            <v>1</v>
          </cell>
          <cell r="BL28">
            <v>1</v>
          </cell>
          <cell r="BM28">
            <v>0</v>
          </cell>
          <cell r="BN28">
            <v>1</v>
          </cell>
          <cell r="BO28">
            <v>0</v>
          </cell>
          <cell r="BP28">
            <v>1</v>
          </cell>
          <cell r="BQ28">
            <v>0</v>
          </cell>
          <cell r="BR28">
            <v>0</v>
          </cell>
          <cell r="BS28">
            <v>3</v>
          </cell>
          <cell r="BT28">
            <v>0</v>
          </cell>
          <cell r="BU28">
            <v>0</v>
          </cell>
          <cell r="BV28">
            <v>4</v>
          </cell>
          <cell r="BW28">
            <v>0</v>
          </cell>
          <cell r="BX28">
            <v>1</v>
          </cell>
          <cell r="BY28">
            <v>0</v>
          </cell>
          <cell r="BZ28">
            <v>1</v>
          </cell>
          <cell r="CA28">
            <v>0</v>
          </cell>
          <cell r="CB28">
            <v>1</v>
          </cell>
          <cell r="CC28">
            <v>0</v>
          </cell>
          <cell r="CD28">
            <v>1</v>
          </cell>
          <cell r="CE28">
            <v>0</v>
          </cell>
          <cell r="CF28">
            <v>2</v>
          </cell>
          <cell r="CG28">
            <v>0</v>
          </cell>
          <cell r="CH28">
            <v>0</v>
          </cell>
          <cell r="CI28">
            <v>0</v>
          </cell>
          <cell r="CJ28">
            <v>5</v>
          </cell>
          <cell r="CK28">
            <v>1</v>
          </cell>
          <cell r="CL28">
            <v>1</v>
          </cell>
          <cell r="CM28">
            <v>0</v>
          </cell>
          <cell r="CN28">
            <v>0</v>
          </cell>
          <cell r="CO28">
            <v>0</v>
          </cell>
          <cell r="CP28">
            <v>2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2</v>
          </cell>
          <cell r="CV28">
            <v>1</v>
          </cell>
          <cell r="CW28">
            <v>0</v>
          </cell>
          <cell r="CX28">
            <v>0</v>
          </cell>
          <cell r="CY28">
            <v>1</v>
          </cell>
          <cell r="CZ28">
            <v>0</v>
          </cell>
          <cell r="DA28">
            <v>3</v>
          </cell>
          <cell r="DB28">
            <v>0</v>
          </cell>
          <cell r="DC28">
            <v>3</v>
          </cell>
          <cell r="DD28">
            <v>0</v>
          </cell>
          <cell r="DE28">
            <v>1</v>
          </cell>
          <cell r="DF28">
            <v>0</v>
          </cell>
          <cell r="DG28">
            <v>2</v>
          </cell>
          <cell r="DH28">
            <v>1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1</v>
          </cell>
          <cell r="DN28">
            <v>0</v>
          </cell>
          <cell r="DO28">
            <v>2</v>
          </cell>
          <cell r="DP28">
            <v>1</v>
          </cell>
          <cell r="DQ28">
            <v>0</v>
          </cell>
          <cell r="DR28">
            <v>0</v>
          </cell>
          <cell r="DS28">
            <v>0</v>
          </cell>
          <cell r="DT28">
            <v>1</v>
          </cell>
          <cell r="DU28">
            <v>2</v>
          </cell>
          <cell r="DV28">
            <v>2</v>
          </cell>
          <cell r="DW28">
            <v>0</v>
          </cell>
          <cell r="DX28">
            <v>2</v>
          </cell>
          <cell r="DY28">
            <v>2</v>
          </cell>
          <cell r="DZ28">
            <v>1</v>
          </cell>
        </row>
        <row r="29">
          <cell r="A29">
            <v>25</v>
          </cell>
          <cell r="B29" t="str">
            <v>Enrique Uribe</v>
          </cell>
          <cell r="C29">
            <v>3</v>
          </cell>
          <cell r="D29">
            <v>1</v>
          </cell>
          <cell r="E29">
            <v>3</v>
          </cell>
          <cell r="F29">
            <v>1</v>
          </cell>
          <cell r="G29">
            <v>0</v>
          </cell>
          <cell r="H29">
            <v>1</v>
          </cell>
          <cell r="I29">
            <v>1</v>
          </cell>
          <cell r="J29">
            <v>3</v>
          </cell>
          <cell r="K29">
            <v>3</v>
          </cell>
          <cell r="L29">
            <v>1</v>
          </cell>
          <cell r="M29">
            <v>4</v>
          </cell>
          <cell r="N29">
            <v>1</v>
          </cell>
          <cell r="O29">
            <v>1</v>
          </cell>
          <cell r="P29">
            <v>0</v>
          </cell>
          <cell r="Q29">
            <v>2</v>
          </cell>
          <cell r="R29">
            <v>0</v>
          </cell>
          <cell r="S29">
            <v>3</v>
          </cell>
          <cell r="T29">
            <v>0</v>
          </cell>
          <cell r="U29">
            <v>3</v>
          </cell>
          <cell r="V29">
            <v>1</v>
          </cell>
          <cell r="W29">
            <v>3</v>
          </cell>
          <cell r="X29">
            <v>1</v>
          </cell>
          <cell r="Y29">
            <v>2</v>
          </cell>
          <cell r="Z29">
            <v>0</v>
          </cell>
          <cell r="AA29">
            <v>2</v>
          </cell>
          <cell r="AB29">
            <v>0</v>
          </cell>
          <cell r="AC29">
            <v>0</v>
          </cell>
          <cell r="AD29">
            <v>3</v>
          </cell>
          <cell r="AE29">
            <v>3</v>
          </cell>
          <cell r="AF29">
            <v>1</v>
          </cell>
          <cell r="AG29">
            <v>2</v>
          </cell>
          <cell r="AH29">
            <v>1</v>
          </cell>
          <cell r="AI29">
            <v>2</v>
          </cell>
          <cell r="AJ29">
            <v>0</v>
          </cell>
          <cell r="AK29">
            <v>4</v>
          </cell>
          <cell r="AL29">
            <v>1</v>
          </cell>
          <cell r="AM29">
            <v>3</v>
          </cell>
          <cell r="AN29">
            <v>2</v>
          </cell>
          <cell r="AO29">
            <v>0</v>
          </cell>
          <cell r="AP29">
            <v>4</v>
          </cell>
          <cell r="AQ29">
            <v>3</v>
          </cell>
          <cell r="AR29">
            <v>0</v>
          </cell>
          <cell r="AS29">
            <v>1</v>
          </cell>
          <cell r="AT29">
            <v>1</v>
          </cell>
          <cell r="AU29">
            <v>3</v>
          </cell>
          <cell r="AV29">
            <v>0</v>
          </cell>
          <cell r="AW29">
            <v>4</v>
          </cell>
          <cell r="AX29">
            <v>0</v>
          </cell>
          <cell r="AY29">
            <v>1</v>
          </cell>
          <cell r="AZ29">
            <v>2</v>
          </cell>
          <cell r="BA29">
            <v>2</v>
          </cell>
          <cell r="BB29">
            <v>2</v>
          </cell>
          <cell r="BC29">
            <v>2</v>
          </cell>
          <cell r="BD29">
            <v>0</v>
          </cell>
          <cell r="BE29">
            <v>4</v>
          </cell>
          <cell r="BF29">
            <v>1</v>
          </cell>
          <cell r="BG29">
            <v>1</v>
          </cell>
          <cell r="BH29">
            <v>2</v>
          </cell>
          <cell r="BI29">
            <v>4</v>
          </cell>
          <cell r="BJ29">
            <v>0</v>
          </cell>
          <cell r="BK29">
            <v>3</v>
          </cell>
          <cell r="BL29">
            <v>1</v>
          </cell>
          <cell r="BM29">
            <v>2</v>
          </cell>
          <cell r="BN29">
            <v>1</v>
          </cell>
          <cell r="BO29">
            <v>1</v>
          </cell>
          <cell r="BP29">
            <v>3</v>
          </cell>
          <cell r="BQ29">
            <v>0</v>
          </cell>
          <cell r="BR29">
            <v>2</v>
          </cell>
          <cell r="BS29">
            <v>4</v>
          </cell>
          <cell r="BT29">
            <v>0</v>
          </cell>
          <cell r="BU29">
            <v>1</v>
          </cell>
          <cell r="BV29">
            <v>3</v>
          </cell>
          <cell r="BW29">
            <v>1</v>
          </cell>
          <cell r="BX29">
            <v>3</v>
          </cell>
          <cell r="BY29">
            <v>1</v>
          </cell>
          <cell r="BZ29">
            <v>1</v>
          </cell>
          <cell r="CA29">
            <v>2</v>
          </cell>
          <cell r="CB29">
            <v>1</v>
          </cell>
          <cell r="CC29">
            <v>1</v>
          </cell>
          <cell r="CD29">
            <v>4</v>
          </cell>
          <cell r="CE29">
            <v>0</v>
          </cell>
          <cell r="CF29">
            <v>4</v>
          </cell>
          <cell r="CG29">
            <v>2</v>
          </cell>
          <cell r="CH29">
            <v>0</v>
          </cell>
          <cell r="CI29">
            <v>0</v>
          </cell>
          <cell r="CJ29">
            <v>3</v>
          </cell>
          <cell r="CK29">
            <v>0</v>
          </cell>
          <cell r="CL29">
            <v>2</v>
          </cell>
          <cell r="CM29">
            <v>0</v>
          </cell>
          <cell r="CN29">
            <v>3</v>
          </cell>
          <cell r="CO29">
            <v>1</v>
          </cell>
          <cell r="CP29">
            <v>2</v>
          </cell>
          <cell r="CQ29">
            <v>2</v>
          </cell>
          <cell r="CR29">
            <v>0</v>
          </cell>
          <cell r="CS29">
            <v>1</v>
          </cell>
          <cell r="CT29">
            <v>1</v>
          </cell>
          <cell r="CU29">
            <v>3</v>
          </cell>
          <cell r="CV29">
            <v>1</v>
          </cell>
          <cell r="CW29">
            <v>3</v>
          </cell>
          <cell r="CX29">
            <v>2</v>
          </cell>
          <cell r="CY29">
            <v>3</v>
          </cell>
          <cell r="CZ29">
            <v>2</v>
          </cell>
          <cell r="DA29">
            <v>3</v>
          </cell>
          <cell r="DB29">
            <v>0</v>
          </cell>
          <cell r="DC29">
            <v>4</v>
          </cell>
          <cell r="DD29">
            <v>0</v>
          </cell>
          <cell r="DE29">
            <v>3</v>
          </cell>
          <cell r="DF29">
            <v>1</v>
          </cell>
          <cell r="DG29">
            <v>4</v>
          </cell>
          <cell r="DH29">
            <v>0</v>
          </cell>
          <cell r="DI29">
            <v>2</v>
          </cell>
          <cell r="DJ29">
            <v>1</v>
          </cell>
          <cell r="DK29">
            <v>3</v>
          </cell>
          <cell r="DL29">
            <v>1</v>
          </cell>
          <cell r="DM29">
            <v>3</v>
          </cell>
          <cell r="DN29">
            <v>1</v>
          </cell>
          <cell r="DO29">
            <v>3</v>
          </cell>
          <cell r="DP29">
            <v>1</v>
          </cell>
          <cell r="DQ29">
            <v>3</v>
          </cell>
          <cell r="DR29">
            <v>2</v>
          </cell>
          <cell r="DS29">
            <v>1</v>
          </cell>
          <cell r="DT29">
            <v>3</v>
          </cell>
          <cell r="DU29">
            <v>3</v>
          </cell>
          <cell r="DV29">
            <v>2</v>
          </cell>
          <cell r="DW29">
            <v>1</v>
          </cell>
          <cell r="DX29">
            <v>3</v>
          </cell>
          <cell r="DY29">
            <v>2</v>
          </cell>
          <cell r="DZ29">
            <v>3</v>
          </cell>
        </row>
        <row r="30">
          <cell r="A30">
            <v>26</v>
          </cell>
          <cell r="B30" t="str">
            <v>Andres Aguirre</v>
          </cell>
          <cell r="C30">
            <v>1</v>
          </cell>
          <cell r="D30">
            <v>1</v>
          </cell>
          <cell r="E30">
            <v>0</v>
          </cell>
          <cell r="F30">
            <v>2</v>
          </cell>
          <cell r="G30">
            <v>1</v>
          </cell>
          <cell r="H30">
            <v>1</v>
          </cell>
          <cell r="I30">
            <v>1</v>
          </cell>
          <cell r="J30">
            <v>3</v>
          </cell>
          <cell r="K30">
            <v>2</v>
          </cell>
          <cell r="L30">
            <v>0</v>
          </cell>
          <cell r="M30">
            <v>2</v>
          </cell>
          <cell r="N30">
            <v>1</v>
          </cell>
          <cell r="O30">
            <v>1</v>
          </cell>
          <cell r="P30">
            <v>2</v>
          </cell>
          <cell r="Q30">
            <v>2</v>
          </cell>
          <cell r="R30">
            <v>2</v>
          </cell>
          <cell r="S30">
            <v>0</v>
          </cell>
          <cell r="T30">
            <v>2</v>
          </cell>
          <cell r="U30">
            <v>3</v>
          </cell>
          <cell r="V30">
            <v>1</v>
          </cell>
          <cell r="W30">
            <v>2</v>
          </cell>
          <cell r="X30">
            <v>0</v>
          </cell>
          <cell r="Y30">
            <v>2</v>
          </cell>
          <cell r="Z30">
            <v>1</v>
          </cell>
          <cell r="AA30">
            <v>2</v>
          </cell>
          <cell r="AB30">
            <v>0</v>
          </cell>
          <cell r="AC30">
            <v>0</v>
          </cell>
          <cell r="AD30">
            <v>3</v>
          </cell>
          <cell r="AE30">
            <v>1</v>
          </cell>
          <cell r="AF30">
            <v>2</v>
          </cell>
          <cell r="AG30">
            <v>2</v>
          </cell>
          <cell r="AH30">
            <v>1</v>
          </cell>
          <cell r="AI30">
            <v>2</v>
          </cell>
          <cell r="AJ30">
            <v>1</v>
          </cell>
          <cell r="AK30">
            <v>2</v>
          </cell>
          <cell r="AL30">
            <v>1</v>
          </cell>
          <cell r="AM30">
            <v>2</v>
          </cell>
          <cell r="AN30">
            <v>0</v>
          </cell>
          <cell r="AO30">
            <v>0</v>
          </cell>
          <cell r="AP30">
            <v>3</v>
          </cell>
          <cell r="AQ30">
            <v>2</v>
          </cell>
          <cell r="AR30">
            <v>1</v>
          </cell>
          <cell r="AS30">
            <v>0</v>
          </cell>
          <cell r="AT30">
            <v>0</v>
          </cell>
          <cell r="AU30">
            <v>2</v>
          </cell>
          <cell r="AV30">
            <v>2</v>
          </cell>
          <cell r="AW30">
            <v>3</v>
          </cell>
          <cell r="AX30">
            <v>0</v>
          </cell>
          <cell r="AY30">
            <v>1</v>
          </cell>
          <cell r="AZ30">
            <v>0</v>
          </cell>
          <cell r="BA30">
            <v>1</v>
          </cell>
          <cell r="BB30">
            <v>1</v>
          </cell>
          <cell r="BC30">
            <v>1</v>
          </cell>
          <cell r="BD30">
            <v>0</v>
          </cell>
          <cell r="BE30">
            <v>3</v>
          </cell>
          <cell r="BF30">
            <v>0</v>
          </cell>
          <cell r="BG30">
            <v>1</v>
          </cell>
          <cell r="BH30">
            <v>2</v>
          </cell>
          <cell r="BI30">
            <v>3</v>
          </cell>
          <cell r="BJ30">
            <v>0</v>
          </cell>
          <cell r="BK30">
            <v>0</v>
          </cell>
          <cell r="BL30">
            <v>1</v>
          </cell>
          <cell r="BM30">
            <v>1</v>
          </cell>
          <cell r="BN30">
            <v>1</v>
          </cell>
          <cell r="BO30">
            <v>2</v>
          </cell>
          <cell r="BP30">
            <v>1</v>
          </cell>
          <cell r="BQ30">
            <v>1</v>
          </cell>
          <cell r="BR30">
            <v>1</v>
          </cell>
          <cell r="BS30">
            <v>3</v>
          </cell>
          <cell r="BT30">
            <v>0</v>
          </cell>
          <cell r="BU30">
            <v>1</v>
          </cell>
          <cell r="BV30">
            <v>2</v>
          </cell>
          <cell r="BW30">
            <v>0</v>
          </cell>
          <cell r="BX30">
            <v>2</v>
          </cell>
          <cell r="BY30">
            <v>1</v>
          </cell>
          <cell r="BZ30">
            <v>1</v>
          </cell>
          <cell r="CA30">
            <v>0</v>
          </cell>
          <cell r="CB30">
            <v>2</v>
          </cell>
          <cell r="CC30">
            <v>1</v>
          </cell>
          <cell r="CD30">
            <v>2</v>
          </cell>
          <cell r="CE30">
            <v>1</v>
          </cell>
          <cell r="CF30">
            <v>3</v>
          </cell>
          <cell r="CG30">
            <v>2</v>
          </cell>
          <cell r="CH30">
            <v>1</v>
          </cell>
          <cell r="CI30">
            <v>0</v>
          </cell>
          <cell r="CJ30">
            <v>3</v>
          </cell>
          <cell r="CK30">
            <v>1</v>
          </cell>
          <cell r="CL30">
            <v>1</v>
          </cell>
          <cell r="CM30">
            <v>0</v>
          </cell>
          <cell r="CN30">
            <v>2</v>
          </cell>
          <cell r="CO30">
            <v>0</v>
          </cell>
          <cell r="CP30">
            <v>1</v>
          </cell>
          <cell r="CQ30">
            <v>3</v>
          </cell>
          <cell r="CR30">
            <v>2</v>
          </cell>
          <cell r="CS30">
            <v>1</v>
          </cell>
          <cell r="CT30">
            <v>1</v>
          </cell>
          <cell r="CU30">
            <v>2</v>
          </cell>
          <cell r="CV30">
            <v>1</v>
          </cell>
          <cell r="CW30">
            <v>2</v>
          </cell>
          <cell r="CX30">
            <v>1</v>
          </cell>
          <cell r="CY30">
            <v>3</v>
          </cell>
          <cell r="CZ30">
            <v>1</v>
          </cell>
          <cell r="DA30">
            <v>3</v>
          </cell>
          <cell r="DB30">
            <v>1</v>
          </cell>
          <cell r="DC30">
            <v>2</v>
          </cell>
          <cell r="DD30">
            <v>0</v>
          </cell>
          <cell r="DE30">
            <v>2</v>
          </cell>
          <cell r="DF30">
            <v>0</v>
          </cell>
          <cell r="DG30">
            <v>3</v>
          </cell>
          <cell r="DH30">
            <v>1</v>
          </cell>
          <cell r="DI30">
            <v>1</v>
          </cell>
          <cell r="DJ30">
            <v>0</v>
          </cell>
          <cell r="DK30">
            <v>1</v>
          </cell>
          <cell r="DL30">
            <v>2</v>
          </cell>
          <cell r="DM30">
            <v>2</v>
          </cell>
          <cell r="DN30">
            <v>1</v>
          </cell>
          <cell r="DO30">
            <v>2</v>
          </cell>
          <cell r="DP30">
            <v>0</v>
          </cell>
          <cell r="DQ30">
            <v>2</v>
          </cell>
          <cell r="DR30">
            <v>2</v>
          </cell>
          <cell r="DS30">
            <v>1</v>
          </cell>
          <cell r="DT30">
            <v>2</v>
          </cell>
          <cell r="DU30">
            <v>2</v>
          </cell>
          <cell r="DV30">
            <v>2</v>
          </cell>
          <cell r="DW30">
            <v>0</v>
          </cell>
          <cell r="DX30">
            <v>2</v>
          </cell>
          <cell r="DY30">
            <v>1</v>
          </cell>
          <cell r="DZ30">
            <v>2</v>
          </cell>
        </row>
        <row r="31">
          <cell r="A31">
            <v>27</v>
          </cell>
          <cell r="B31" t="str">
            <v>Juan C Lemaitre</v>
          </cell>
          <cell r="C31">
            <v>2</v>
          </cell>
          <cell r="D31">
            <v>0</v>
          </cell>
          <cell r="E31">
            <v>2</v>
          </cell>
          <cell r="F31">
            <v>2</v>
          </cell>
          <cell r="G31">
            <v>0</v>
          </cell>
          <cell r="H31">
            <v>1</v>
          </cell>
          <cell r="I31">
            <v>2</v>
          </cell>
          <cell r="J31">
            <v>1</v>
          </cell>
          <cell r="K31">
            <v>2</v>
          </cell>
          <cell r="L31">
            <v>0</v>
          </cell>
          <cell r="M31">
            <v>2</v>
          </cell>
          <cell r="N31">
            <v>0</v>
          </cell>
          <cell r="O31">
            <v>1</v>
          </cell>
          <cell r="P31">
            <v>2</v>
          </cell>
          <cell r="Q31">
            <v>0</v>
          </cell>
          <cell r="R31">
            <v>0</v>
          </cell>
          <cell r="S31">
            <v>1</v>
          </cell>
          <cell r="T31">
            <v>0</v>
          </cell>
          <cell r="U31">
            <v>2</v>
          </cell>
          <cell r="V31">
            <v>0</v>
          </cell>
          <cell r="W31">
            <v>2</v>
          </cell>
          <cell r="X31">
            <v>0</v>
          </cell>
          <cell r="Y31">
            <v>1</v>
          </cell>
          <cell r="Z31">
            <v>0</v>
          </cell>
          <cell r="AA31">
            <v>3</v>
          </cell>
          <cell r="AB31">
            <v>0</v>
          </cell>
          <cell r="AC31">
            <v>0</v>
          </cell>
          <cell r="AD31">
            <v>2</v>
          </cell>
          <cell r="AE31">
            <v>0</v>
          </cell>
          <cell r="AF31">
            <v>0</v>
          </cell>
          <cell r="AG31">
            <v>2</v>
          </cell>
          <cell r="AH31">
            <v>1</v>
          </cell>
          <cell r="AI31">
            <v>2</v>
          </cell>
          <cell r="AJ31">
            <v>1</v>
          </cell>
          <cell r="AK31">
            <v>3</v>
          </cell>
          <cell r="AL31">
            <v>0</v>
          </cell>
          <cell r="AM31">
            <v>2</v>
          </cell>
          <cell r="AN31">
            <v>0</v>
          </cell>
          <cell r="AO31">
            <v>0</v>
          </cell>
          <cell r="AP31">
            <v>2</v>
          </cell>
          <cell r="AQ31">
            <v>1</v>
          </cell>
          <cell r="AR31">
            <v>0</v>
          </cell>
          <cell r="AS31">
            <v>2</v>
          </cell>
          <cell r="AT31">
            <v>1</v>
          </cell>
          <cell r="AU31">
            <v>1</v>
          </cell>
          <cell r="AV31">
            <v>0</v>
          </cell>
          <cell r="AW31">
            <v>2</v>
          </cell>
          <cell r="AX31">
            <v>0</v>
          </cell>
          <cell r="AY31">
            <v>2</v>
          </cell>
          <cell r="AZ31">
            <v>0</v>
          </cell>
          <cell r="BA31">
            <v>0</v>
          </cell>
          <cell r="BB31">
            <v>0</v>
          </cell>
          <cell r="BC31">
            <v>1</v>
          </cell>
          <cell r="BD31">
            <v>0</v>
          </cell>
          <cell r="BE31">
            <v>2</v>
          </cell>
          <cell r="BF31">
            <v>0</v>
          </cell>
          <cell r="BG31">
            <v>1</v>
          </cell>
          <cell r="BH31">
            <v>2</v>
          </cell>
          <cell r="BI31">
            <v>3</v>
          </cell>
          <cell r="BJ31">
            <v>0</v>
          </cell>
          <cell r="BK31">
            <v>0</v>
          </cell>
          <cell r="BL31">
            <v>1</v>
          </cell>
          <cell r="BM31">
            <v>0</v>
          </cell>
          <cell r="BN31">
            <v>1</v>
          </cell>
          <cell r="BO31">
            <v>2</v>
          </cell>
          <cell r="BP31">
            <v>1</v>
          </cell>
          <cell r="BQ31">
            <v>0</v>
          </cell>
          <cell r="BR31">
            <v>2</v>
          </cell>
          <cell r="BS31">
            <v>2</v>
          </cell>
          <cell r="BT31">
            <v>1</v>
          </cell>
          <cell r="BU31">
            <v>0</v>
          </cell>
          <cell r="BV31">
            <v>2</v>
          </cell>
          <cell r="BW31">
            <v>1</v>
          </cell>
          <cell r="BX31">
            <v>1</v>
          </cell>
          <cell r="BY31">
            <v>0</v>
          </cell>
          <cell r="BZ31">
            <v>1</v>
          </cell>
          <cell r="CA31">
            <v>0</v>
          </cell>
          <cell r="CB31">
            <v>2</v>
          </cell>
          <cell r="CC31">
            <v>1</v>
          </cell>
          <cell r="CD31">
            <v>1</v>
          </cell>
          <cell r="CE31">
            <v>0</v>
          </cell>
          <cell r="CF31">
            <v>2</v>
          </cell>
          <cell r="CG31">
            <v>1</v>
          </cell>
          <cell r="CH31">
            <v>1</v>
          </cell>
          <cell r="CI31">
            <v>0</v>
          </cell>
          <cell r="CJ31">
            <v>2</v>
          </cell>
          <cell r="CK31">
            <v>0</v>
          </cell>
          <cell r="CL31">
            <v>0</v>
          </cell>
          <cell r="CM31">
            <v>0</v>
          </cell>
          <cell r="CN31">
            <v>2</v>
          </cell>
          <cell r="CO31">
            <v>0</v>
          </cell>
          <cell r="CP31">
            <v>1</v>
          </cell>
          <cell r="CQ31">
            <v>1</v>
          </cell>
          <cell r="CR31">
            <v>0</v>
          </cell>
          <cell r="CS31">
            <v>0</v>
          </cell>
          <cell r="CT31">
            <v>0</v>
          </cell>
          <cell r="CU31">
            <v>2</v>
          </cell>
          <cell r="CV31">
            <v>1</v>
          </cell>
          <cell r="CW31">
            <v>0</v>
          </cell>
          <cell r="CX31">
            <v>1</v>
          </cell>
          <cell r="CY31">
            <v>2</v>
          </cell>
          <cell r="CZ31">
            <v>0</v>
          </cell>
          <cell r="DA31">
            <v>1</v>
          </cell>
          <cell r="DB31">
            <v>1</v>
          </cell>
          <cell r="DC31">
            <v>1</v>
          </cell>
          <cell r="DD31">
            <v>0</v>
          </cell>
          <cell r="DE31">
            <v>2</v>
          </cell>
          <cell r="DF31">
            <v>0</v>
          </cell>
          <cell r="DG31">
            <v>3</v>
          </cell>
          <cell r="DH31">
            <v>1</v>
          </cell>
          <cell r="DI31">
            <v>1</v>
          </cell>
          <cell r="DJ31">
            <v>1</v>
          </cell>
          <cell r="DK31">
            <v>1</v>
          </cell>
          <cell r="DL31">
            <v>1</v>
          </cell>
          <cell r="DM31">
            <v>2</v>
          </cell>
          <cell r="DN31">
            <v>1</v>
          </cell>
          <cell r="DO31">
            <v>2</v>
          </cell>
          <cell r="DP31">
            <v>0</v>
          </cell>
          <cell r="DQ31">
            <v>1</v>
          </cell>
          <cell r="DR31">
            <v>1</v>
          </cell>
          <cell r="DS31">
            <v>1</v>
          </cell>
          <cell r="DT31">
            <v>2</v>
          </cell>
          <cell r="DU31">
            <v>2</v>
          </cell>
          <cell r="DV31">
            <v>0</v>
          </cell>
          <cell r="DW31">
            <v>1</v>
          </cell>
          <cell r="DX31">
            <v>1</v>
          </cell>
          <cell r="DY31">
            <v>2</v>
          </cell>
          <cell r="DZ31">
            <v>1</v>
          </cell>
        </row>
        <row r="32">
          <cell r="A32">
            <v>28</v>
          </cell>
          <cell r="B32" t="str">
            <v>Fernando Fonseca</v>
          </cell>
          <cell r="C32">
            <v>2</v>
          </cell>
          <cell r="D32">
            <v>0</v>
          </cell>
          <cell r="E32">
            <v>1</v>
          </cell>
          <cell r="F32">
            <v>2</v>
          </cell>
          <cell r="G32">
            <v>0</v>
          </cell>
          <cell r="H32">
            <v>2</v>
          </cell>
          <cell r="I32">
            <v>1</v>
          </cell>
          <cell r="J32">
            <v>3</v>
          </cell>
          <cell r="K32">
            <v>2</v>
          </cell>
          <cell r="L32">
            <v>0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0</v>
          </cell>
          <cell r="R32">
            <v>0</v>
          </cell>
          <cell r="S32">
            <v>2</v>
          </cell>
          <cell r="T32">
            <v>1</v>
          </cell>
          <cell r="U32">
            <v>2</v>
          </cell>
          <cell r="V32">
            <v>0</v>
          </cell>
          <cell r="W32">
            <v>2</v>
          </cell>
          <cell r="X32">
            <v>1</v>
          </cell>
          <cell r="Y32">
            <v>3</v>
          </cell>
          <cell r="Z32">
            <v>0</v>
          </cell>
          <cell r="AA32">
            <v>3</v>
          </cell>
          <cell r="AB32">
            <v>0</v>
          </cell>
          <cell r="AC32">
            <v>0</v>
          </cell>
          <cell r="AD32">
            <v>2</v>
          </cell>
          <cell r="AE32">
            <v>1</v>
          </cell>
          <cell r="AF32">
            <v>1</v>
          </cell>
          <cell r="AG32">
            <v>2</v>
          </cell>
          <cell r="AH32">
            <v>0</v>
          </cell>
          <cell r="AI32">
            <v>1</v>
          </cell>
          <cell r="AJ32">
            <v>1</v>
          </cell>
          <cell r="AK32">
            <v>3</v>
          </cell>
          <cell r="AL32">
            <v>0</v>
          </cell>
          <cell r="AM32">
            <v>2</v>
          </cell>
          <cell r="AN32">
            <v>0</v>
          </cell>
          <cell r="AO32">
            <v>0</v>
          </cell>
          <cell r="AP32">
            <v>4</v>
          </cell>
          <cell r="AQ32">
            <v>2</v>
          </cell>
          <cell r="AR32">
            <v>1</v>
          </cell>
          <cell r="AS32">
            <v>2</v>
          </cell>
          <cell r="AT32">
            <v>0</v>
          </cell>
          <cell r="AU32">
            <v>2</v>
          </cell>
          <cell r="AV32">
            <v>0</v>
          </cell>
          <cell r="AW32">
            <v>4</v>
          </cell>
          <cell r="AX32">
            <v>1</v>
          </cell>
          <cell r="AY32">
            <v>1</v>
          </cell>
          <cell r="AZ32">
            <v>2</v>
          </cell>
          <cell r="BA32">
            <v>0</v>
          </cell>
          <cell r="BB32">
            <v>2</v>
          </cell>
          <cell r="BC32">
            <v>3</v>
          </cell>
          <cell r="BD32">
            <v>0</v>
          </cell>
          <cell r="BE32">
            <v>2</v>
          </cell>
          <cell r="BF32">
            <v>1</v>
          </cell>
          <cell r="BG32">
            <v>0</v>
          </cell>
          <cell r="BH32">
            <v>2</v>
          </cell>
          <cell r="BI32">
            <v>3</v>
          </cell>
          <cell r="BJ32">
            <v>1</v>
          </cell>
          <cell r="BK32">
            <v>0</v>
          </cell>
          <cell r="BL32">
            <v>1</v>
          </cell>
          <cell r="BM32">
            <v>1</v>
          </cell>
          <cell r="BN32">
            <v>3</v>
          </cell>
          <cell r="BO32">
            <v>1</v>
          </cell>
          <cell r="BP32">
            <v>1</v>
          </cell>
          <cell r="BQ32">
            <v>0</v>
          </cell>
          <cell r="BR32">
            <v>3</v>
          </cell>
          <cell r="BS32">
            <v>3</v>
          </cell>
          <cell r="BT32">
            <v>1</v>
          </cell>
          <cell r="BU32">
            <v>0</v>
          </cell>
          <cell r="BV32">
            <v>2</v>
          </cell>
          <cell r="BW32">
            <v>1</v>
          </cell>
          <cell r="BX32">
            <v>3</v>
          </cell>
          <cell r="BY32">
            <v>1</v>
          </cell>
          <cell r="BZ32">
            <v>3</v>
          </cell>
          <cell r="CA32">
            <v>1</v>
          </cell>
          <cell r="CB32">
            <v>2</v>
          </cell>
          <cell r="CC32">
            <v>0</v>
          </cell>
          <cell r="CD32">
            <v>3</v>
          </cell>
          <cell r="CE32">
            <v>0</v>
          </cell>
          <cell r="CF32">
            <v>4</v>
          </cell>
          <cell r="CG32">
            <v>2</v>
          </cell>
          <cell r="CH32">
            <v>2</v>
          </cell>
          <cell r="CI32">
            <v>0</v>
          </cell>
          <cell r="CJ32">
            <v>3</v>
          </cell>
          <cell r="CK32">
            <v>1</v>
          </cell>
          <cell r="CL32">
            <v>1</v>
          </cell>
          <cell r="CM32">
            <v>2</v>
          </cell>
          <cell r="CN32">
            <v>2</v>
          </cell>
          <cell r="CO32">
            <v>1</v>
          </cell>
          <cell r="CP32">
            <v>2</v>
          </cell>
          <cell r="CQ32">
            <v>1</v>
          </cell>
          <cell r="CR32">
            <v>1</v>
          </cell>
          <cell r="CS32">
            <v>0</v>
          </cell>
          <cell r="CT32">
            <v>0</v>
          </cell>
          <cell r="CU32">
            <v>2</v>
          </cell>
          <cell r="CV32">
            <v>0</v>
          </cell>
          <cell r="CW32">
            <v>1</v>
          </cell>
          <cell r="CX32">
            <v>1</v>
          </cell>
          <cell r="CY32">
            <v>3</v>
          </cell>
          <cell r="CZ32">
            <v>1</v>
          </cell>
          <cell r="DA32">
            <v>2</v>
          </cell>
          <cell r="DB32">
            <v>2</v>
          </cell>
          <cell r="DC32">
            <v>3</v>
          </cell>
          <cell r="DD32">
            <v>1</v>
          </cell>
          <cell r="DE32">
            <v>2</v>
          </cell>
          <cell r="DF32">
            <v>1</v>
          </cell>
          <cell r="DG32">
            <v>4</v>
          </cell>
          <cell r="DH32">
            <v>1</v>
          </cell>
          <cell r="DI32">
            <v>2</v>
          </cell>
          <cell r="DJ32">
            <v>2</v>
          </cell>
          <cell r="DK32">
            <v>3</v>
          </cell>
          <cell r="DL32">
            <v>1</v>
          </cell>
          <cell r="DM32">
            <v>3</v>
          </cell>
          <cell r="DN32">
            <v>1</v>
          </cell>
          <cell r="DO32">
            <v>2</v>
          </cell>
          <cell r="DP32">
            <v>1</v>
          </cell>
          <cell r="DQ32">
            <v>2</v>
          </cell>
          <cell r="DR32">
            <v>2</v>
          </cell>
          <cell r="DS32">
            <v>2</v>
          </cell>
          <cell r="DT32">
            <v>3</v>
          </cell>
          <cell r="DU32">
            <v>3</v>
          </cell>
          <cell r="DV32">
            <v>2</v>
          </cell>
          <cell r="DW32">
            <v>2</v>
          </cell>
          <cell r="DX32">
            <v>1</v>
          </cell>
          <cell r="DY32">
            <v>1</v>
          </cell>
          <cell r="DZ32">
            <v>1</v>
          </cell>
        </row>
        <row r="33">
          <cell r="A33">
            <v>29</v>
          </cell>
          <cell r="B33" t="str">
            <v>Rodofo Rojas</v>
          </cell>
          <cell r="C33">
            <v>1</v>
          </cell>
          <cell r="D33">
            <v>0</v>
          </cell>
          <cell r="E33">
            <v>0</v>
          </cell>
          <cell r="F33">
            <v>2</v>
          </cell>
          <cell r="G33">
            <v>2</v>
          </cell>
          <cell r="H33">
            <v>0</v>
          </cell>
          <cell r="I33">
            <v>1</v>
          </cell>
          <cell r="J33">
            <v>2</v>
          </cell>
          <cell r="K33">
            <v>3</v>
          </cell>
          <cell r="L33">
            <v>1</v>
          </cell>
          <cell r="M33">
            <v>2</v>
          </cell>
          <cell r="N33">
            <v>0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0</v>
          </cell>
          <cell r="T33">
            <v>0</v>
          </cell>
          <cell r="U33">
            <v>2</v>
          </cell>
          <cell r="V33">
            <v>1</v>
          </cell>
          <cell r="W33">
            <v>3</v>
          </cell>
          <cell r="X33">
            <v>0</v>
          </cell>
          <cell r="Y33">
            <v>1</v>
          </cell>
          <cell r="Z33">
            <v>1</v>
          </cell>
          <cell r="AA33">
            <v>4</v>
          </cell>
          <cell r="AB33">
            <v>0</v>
          </cell>
          <cell r="AC33">
            <v>0</v>
          </cell>
          <cell r="AD33">
            <v>1</v>
          </cell>
          <cell r="AE33">
            <v>1</v>
          </cell>
          <cell r="AF33">
            <v>0</v>
          </cell>
          <cell r="AG33">
            <v>2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0</v>
          </cell>
          <cell r="AM33">
            <v>3</v>
          </cell>
          <cell r="AN33">
            <v>0</v>
          </cell>
          <cell r="AO33">
            <v>0</v>
          </cell>
          <cell r="AP33">
            <v>4</v>
          </cell>
          <cell r="AQ33">
            <v>2</v>
          </cell>
          <cell r="AR33">
            <v>1</v>
          </cell>
          <cell r="AS33">
            <v>2</v>
          </cell>
          <cell r="AT33">
            <v>0</v>
          </cell>
          <cell r="AU33">
            <v>1</v>
          </cell>
          <cell r="AV33">
            <v>1</v>
          </cell>
          <cell r="AW33">
            <v>2</v>
          </cell>
          <cell r="AX33">
            <v>0</v>
          </cell>
          <cell r="AY33">
            <v>0</v>
          </cell>
          <cell r="AZ33">
            <v>1</v>
          </cell>
          <cell r="BA33">
            <v>0</v>
          </cell>
          <cell r="BB33">
            <v>1</v>
          </cell>
          <cell r="BC33">
            <v>2</v>
          </cell>
          <cell r="BD33">
            <v>0</v>
          </cell>
          <cell r="BE33">
            <v>2</v>
          </cell>
          <cell r="BF33">
            <v>1</v>
          </cell>
          <cell r="BG33">
            <v>0</v>
          </cell>
          <cell r="BH33">
            <v>1</v>
          </cell>
          <cell r="BI33">
            <v>3</v>
          </cell>
          <cell r="BJ33">
            <v>0</v>
          </cell>
          <cell r="BK33">
            <v>1</v>
          </cell>
          <cell r="BL33">
            <v>2</v>
          </cell>
          <cell r="BM33">
            <v>1</v>
          </cell>
          <cell r="BN33">
            <v>1</v>
          </cell>
          <cell r="BO33">
            <v>2</v>
          </cell>
          <cell r="BP33">
            <v>1</v>
          </cell>
          <cell r="BQ33">
            <v>0</v>
          </cell>
          <cell r="BR33">
            <v>1</v>
          </cell>
          <cell r="BS33">
            <v>2</v>
          </cell>
          <cell r="BT33">
            <v>1</v>
          </cell>
          <cell r="BU33">
            <v>1</v>
          </cell>
          <cell r="BV33">
            <v>1</v>
          </cell>
          <cell r="BW33">
            <v>1</v>
          </cell>
          <cell r="BX33">
            <v>1</v>
          </cell>
          <cell r="BY33">
            <v>1</v>
          </cell>
          <cell r="BZ33">
            <v>2</v>
          </cell>
          <cell r="CA33">
            <v>1</v>
          </cell>
          <cell r="CB33">
            <v>0</v>
          </cell>
          <cell r="CC33">
            <v>1</v>
          </cell>
          <cell r="CD33">
            <v>3</v>
          </cell>
          <cell r="CE33">
            <v>2</v>
          </cell>
          <cell r="CF33">
            <v>2</v>
          </cell>
          <cell r="CG33">
            <v>2</v>
          </cell>
          <cell r="CH33">
            <v>0</v>
          </cell>
          <cell r="CI33">
            <v>0</v>
          </cell>
          <cell r="CJ33">
            <v>3</v>
          </cell>
          <cell r="CK33">
            <v>1</v>
          </cell>
          <cell r="CL33">
            <v>0</v>
          </cell>
          <cell r="CM33">
            <v>1</v>
          </cell>
          <cell r="CN33">
            <v>2</v>
          </cell>
          <cell r="CO33">
            <v>1</v>
          </cell>
          <cell r="CP33">
            <v>3</v>
          </cell>
          <cell r="CQ33">
            <v>1</v>
          </cell>
          <cell r="CR33">
            <v>2</v>
          </cell>
          <cell r="CS33">
            <v>0</v>
          </cell>
          <cell r="CT33">
            <v>0</v>
          </cell>
          <cell r="CU33">
            <v>2</v>
          </cell>
          <cell r="CV33">
            <v>0</v>
          </cell>
          <cell r="CW33">
            <v>1</v>
          </cell>
          <cell r="CX33">
            <v>0</v>
          </cell>
          <cell r="CY33">
            <v>3</v>
          </cell>
          <cell r="CZ33">
            <v>0</v>
          </cell>
          <cell r="DA33">
            <v>2</v>
          </cell>
          <cell r="DB33">
            <v>1</v>
          </cell>
          <cell r="DC33">
            <v>2</v>
          </cell>
          <cell r="DD33">
            <v>0</v>
          </cell>
          <cell r="DE33">
            <v>1</v>
          </cell>
          <cell r="DF33">
            <v>0</v>
          </cell>
          <cell r="DG33">
            <v>3</v>
          </cell>
          <cell r="DH33">
            <v>0</v>
          </cell>
          <cell r="DI33">
            <v>1</v>
          </cell>
          <cell r="DJ33">
            <v>1</v>
          </cell>
          <cell r="DK33">
            <v>1</v>
          </cell>
          <cell r="DL33">
            <v>1</v>
          </cell>
          <cell r="DM33">
            <v>2</v>
          </cell>
          <cell r="DN33">
            <v>1</v>
          </cell>
          <cell r="DO33">
            <v>2</v>
          </cell>
          <cell r="DP33">
            <v>1</v>
          </cell>
          <cell r="DQ33">
            <v>3</v>
          </cell>
          <cell r="DR33">
            <v>1</v>
          </cell>
          <cell r="DS33">
            <v>0</v>
          </cell>
          <cell r="DT33">
            <v>1</v>
          </cell>
          <cell r="DU33">
            <v>1</v>
          </cell>
          <cell r="DV33">
            <v>1</v>
          </cell>
          <cell r="DW33">
            <v>3</v>
          </cell>
          <cell r="DX33">
            <v>1</v>
          </cell>
          <cell r="DY33">
            <v>1</v>
          </cell>
          <cell r="DZ33">
            <v>1</v>
          </cell>
        </row>
        <row r="34">
          <cell r="A34">
            <v>30</v>
          </cell>
          <cell r="B34" t="str">
            <v>Cesar A Gómez</v>
          </cell>
          <cell r="C34">
            <v>3</v>
          </cell>
          <cell r="D34">
            <v>1</v>
          </cell>
          <cell r="E34">
            <v>1</v>
          </cell>
          <cell r="F34">
            <v>2</v>
          </cell>
          <cell r="G34">
            <v>1</v>
          </cell>
          <cell r="H34">
            <v>3</v>
          </cell>
          <cell r="I34">
            <v>2</v>
          </cell>
          <cell r="J34">
            <v>2</v>
          </cell>
          <cell r="K34">
            <v>3</v>
          </cell>
          <cell r="L34">
            <v>1</v>
          </cell>
          <cell r="M34">
            <v>4</v>
          </cell>
          <cell r="N34">
            <v>0</v>
          </cell>
          <cell r="O34">
            <v>3</v>
          </cell>
          <cell r="P34">
            <v>0</v>
          </cell>
          <cell r="Q34">
            <v>1</v>
          </cell>
          <cell r="R34">
            <v>1</v>
          </cell>
          <cell r="S34">
            <v>2</v>
          </cell>
          <cell r="T34">
            <v>2</v>
          </cell>
          <cell r="U34">
            <v>3</v>
          </cell>
          <cell r="V34">
            <v>1</v>
          </cell>
          <cell r="W34">
            <v>4</v>
          </cell>
          <cell r="X34">
            <v>0</v>
          </cell>
          <cell r="Y34">
            <v>2</v>
          </cell>
          <cell r="Z34">
            <v>2</v>
          </cell>
          <cell r="AA34">
            <v>3</v>
          </cell>
          <cell r="AB34">
            <v>1</v>
          </cell>
          <cell r="AC34">
            <v>1</v>
          </cell>
          <cell r="AD34">
            <v>3</v>
          </cell>
          <cell r="AE34">
            <v>1</v>
          </cell>
          <cell r="AF34">
            <v>1</v>
          </cell>
          <cell r="AG34">
            <v>3</v>
          </cell>
          <cell r="AH34">
            <v>1</v>
          </cell>
          <cell r="AI34">
            <v>3</v>
          </cell>
          <cell r="AJ34">
            <v>1</v>
          </cell>
          <cell r="AK34">
            <v>4</v>
          </cell>
          <cell r="AL34">
            <v>2</v>
          </cell>
          <cell r="AM34">
            <v>3</v>
          </cell>
          <cell r="AN34">
            <v>2</v>
          </cell>
          <cell r="AO34">
            <v>1</v>
          </cell>
          <cell r="AP34">
            <v>3</v>
          </cell>
          <cell r="AQ34">
            <v>1</v>
          </cell>
          <cell r="AR34">
            <v>1</v>
          </cell>
          <cell r="AS34">
            <v>2</v>
          </cell>
          <cell r="AT34">
            <v>2</v>
          </cell>
          <cell r="AU34">
            <v>3</v>
          </cell>
          <cell r="AV34">
            <v>1</v>
          </cell>
          <cell r="AW34">
            <v>3</v>
          </cell>
          <cell r="AX34">
            <v>1</v>
          </cell>
          <cell r="AY34">
            <v>3</v>
          </cell>
          <cell r="AZ34">
            <v>1</v>
          </cell>
          <cell r="BA34">
            <v>2</v>
          </cell>
          <cell r="BB34">
            <v>1</v>
          </cell>
          <cell r="BC34">
            <v>2</v>
          </cell>
          <cell r="BD34">
            <v>1</v>
          </cell>
          <cell r="BE34">
            <v>3</v>
          </cell>
          <cell r="BF34">
            <v>1</v>
          </cell>
          <cell r="BG34">
            <v>1</v>
          </cell>
          <cell r="BH34">
            <v>2</v>
          </cell>
          <cell r="BI34">
            <v>3</v>
          </cell>
          <cell r="BJ34">
            <v>0</v>
          </cell>
          <cell r="BK34">
            <v>2</v>
          </cell>
          <cell r="BL34">
            <v>1</v>
          </cell>
          <cell r="BM34">
            <v>1</v>
          </cell>
          <cell r="BN34">
            <v>1</v>
          </cell>
          <cell r="BO34">
            <v>2</v>
          </cell>
          <cell r="BP34">
            <v>2</v>
          </cell>
          <cell r="BQ34">
            <v>3</v>
          </cell>
          <cell r="BR34">
            <v>2</v>
          </cell>
          <cell r="BS34">
            <v>3</v>
          </cell>
          <cell r="BT34">
            <v>1</v>
          </cell>
          <cell r="BU34">
            <v>1</v>
          </cell>
          <cell r="BV34">
            <v>4</v>
          </cell>
          <cell r="BW34">
            <v>1</v>
          </cell>
          <cell r="BX34">
            <v>3</v>
          </cell>
          <cell r="BY34">
            <v>1</v>
          </cell>
          <cell r="BZ34">
            <v>4</v>
          </cell>
          <cell r="CA34">
            <v>0</v>
          </cell>
          <cell r="CB34">
            <v>2</v>
          </cell>
          <cell r="CC34">
            <v>1</v>
          </cell>
          <cell r="CD34">
            <v>2</v>
          </cell>
          <cell r="CE34">
            <v>1</v>
          </cell>
          <cell r="CF34">
            <v>3</v>
          </cell>
          <cell r="CG34">
            <v>2</v>
          </cell>
          <cell r="CH34">
            <v>2</v>
          </cell>
          <cell r="CI34">
            <v>1</v>
          </cell>
          <cell r="CJ34">
            <v>4</v>
          </cell>
          <cell r="CK34">
            <v>1</v>
          </cell>
          <cell r="CL34">
            <v>2</v>
          </cell>
          <cell r="CM34">
            <v>1</v>
          </cell>
          <cell r="CN34">
            <v>3</v>
          </cell>
          <cell r="CO34">
            <v>1</v>
          </cell>
          <cell r="CP34">
            <v>2</v>
          </cell>
          <cell r="CQ34">
            <v>2</v>
          </cell>
          <cell r="CR34">
            <v>2</v>
          </cell>
          <cell r="CS34">
            <v>1</v>
          </cell>
          <cell r="CT34">
            <v>2</v>
          </cell>
          <cell r="CU34">
            <v>2</v>
          </cell>
          <cell r="CV34">
            <v>2</v>
          </cell>
          <cell r="CW34">
            <v>1</v>
          </cell>
          <cell r="CX34">
            <v>2</v>
          </cell>
          <cell r="CY34">
            <v>2</v>
          </cell>
          <cell r="CZ34">
            <v>2</v>
          </cell>
          <cell r="DA34">
            <v>3</v>
          </cell>
          <cell r="DB34">
            <v>1</v>
          </cell>
          <cell r="DC34">
            <v>3</v>
          </cell>
          <cell r="DD34">
            <v>1</v>
          </cell>
          <cell r="DE34">
            <v>2</v>
          </cell>
          <cell r="DF34">
            <v>1</v>
          </cell>
          <cell r="DG34">
            <v>3</v>
          </cell>
          <cell r="DH34">
            <v>1</v>
          </cell>
          <cell r="DI34">
            <v>2</v>
          </cell>
          <cell r="DJ34">
            <v>1</v>
          </cell>
          <cell r="DK34">
            <v>2</v>
          </cell>
          <cell r="DL34">
            <v>2</v>
          </cell>
          <cell r="DM34">
            <v>3</v>
          </cell>
          <cell r="DN34">
            <v>1</v>
          </cell>
          <cell r="DO34">
            <v>3</v>
          </cell>
          <cell r="DP34">
            <v>1</v>
          </cell>
          <cell r="DQ34">
            <v>2</v>
          </cell>
          <cell r="DR34">
            <v>2</v>
          </cell>
          <cell r="DS34">
            <v>1</v>
          </cell>
          <cell r="DT34">
            <v>3</v>
          </cell>
          <cell r="DU34">
            <v>2</v>
          </cell>
          <cell r="DV34">
            <v>1</v>
          </cell>
          <cell r="DW34">
            <v>1</v>
          </cell>
          <cell r="DX34">
            <v>2</v>
          </cell>
          <cell r="DY34">
            <v>2</v>
          </cell>
          <cell r="DZ34">
            <v>1</v>
          </cell>
        </row>
        <row r="35">
          <cell r="A35">
            <v>31</v>
          </cell>
          <cell r="B35" t="str">
            <v>Paula - Gonzalo</v>
          </cell>
          <cell r="C35">
            <v>2</v>
          </cell>
          <cell r="D35">
            <v>0</v>
          </cell>
          <cell r="E35">
            <v>1</v>
          </cell>
          <cell r="F35">
            <v>3</v>
          </cell>
          <cell r="G35">
            <v>1</v>
          </cell>
          <cell r="H35">
            <v>0</v>
          </cell>
          <cell r="I35">
            <v>2</v>
          </cell>
          <cell r="J35">
            <v>3</v>
          </cell>
          <cell r="K35">
            <v>3</v>
          </cell>
          <cell r="L35">
            <v>1</v>
          </cell>
          <cell r="M35">
            <v>2</v>
          </cell>
          <cell r="N35">
            <v>1</v>
          </cell>
          <cell r="O35">
            <v>1</v>
          </cell>
          <cell r="P35">
            <v>0</v>
          </cell>
          <cell r="Q35">
            <v>3</v>
          </cell>
          <cell r="R35">
            <v>1</v>
          </cell>
          <cell r="S35">
            <v>2</v>
          </cell>
          <cell r="T35">
            <v>0</v>
          </cell>
          <cell r="U35">
            <v>4</v>
          </cell>
          <cell r="V35">
            <v>1</v>
          </cell>
          <cell r="W35">
            <v>3</v>
          </cell>
          <cell r="X35">
            <v>1</v>
          </cell>
          <cell r="Y35">
            <v>2</v>
          </cell>
          <cell r="Z35">
            <v>1</v>
          </cell>
          <cell r="AA35">
            <v>3</v>
          </cell>
          <cell r="AB35">
            <v>0</v>
          </cell>
          <cell r="AC35">
            <v>0</v>
          </cell>
          <cell r="AD35">
            <v>2</v>
          </cell>
          <cell r="AE35">
            <v>2</v>
          </cell>
          <cell r="AF35">
            <v>0</v>
          </cell>
          <cell r="AG35">
            <v>2</v>
          </cell>
          <cell r="AH35">
            <v>0</v>
          </cell>
          <cell r="AI35">
            <v>1</v>
          </cell>
          <cell r="AJ35">
            <v>1</v>
          </cell>
          <cell r="AK35">
            <v>3</v>
          </cell>
          <cell r="AL35">
            <v>0</v>
          </cell>
          <cell r="AM35">
            <v>4</v>
          </cell>
          <cell r="AN35">
            <v>0</v>
          </cell>
          <cell r="AO35">
            <v>0</v>
          </cell>
          <cell r="AP35">
            <v>5</v>
          </cell>
          <cell r="AQ35">
            <v>2</v>
          </cell>
          <cell r="AR35">
            <v>1</v>
          </cell>
          <cell r="AS35">
            <v>2</v>
          </cell>
          <cell r="AT35">
            <v>0</v>
          </cell>
          <cell r="AU35">
            <v>0</v>
          </cell>
          <cell r="AV35">
            <v>1</v>
          </cell>
          <cell r="AW35">
            <v>4</v>
          </cell>
          <cell r="AX35">
            <v>0</v>
          </cell>
          <cell r="AY35">
            <v>1</v>
          </cell>
          <cell r="AZ35">
            <v>2</v>
          </cell>
          <cell r="BA35">
            <v>1</v>
          </cell>
          <cell r="BB35">
            <v>2</v>
          </cell>
          <cell r="BC35">
            <v>5</v>
          </cell>
          <cell r="BD35">
            <v>1</v>
          </cell>
          <cell r="BE35">
            <v>3</v>
          </cell>
          <cell r="BF35">
            <v>0</v>
          </cell>
          <cell r="BG35">
            <v>0</v>
          </cell>
          <cell r="BH35">
            <v>2</v>
          </cell>
          <cell r="BI35">
            <v>1</v>
          </cell>
          <cell r="BJ35">
            <v>0</v>
          </cell>
          <cell r="BK35">
            <v>1</v>
          </cell>
          <cell r="BL35">
            <v>1</v>
          </cell>
          <cell r="BM35">
            <v>1</v>
          </cell>
          <cell r="BN35">
            <v>2</v>
          </cell>
          <cell r="BO35">
            <v>2</v>
          </cell>
          <cell r="BP35">
            <v>0</v>
          </cell>
          <cell r="BQ35">
            <v>0</v>
          </cell>
          <cell r="BR35">
            <v>3</v>
          </cell>
          <cell r="BS35">
            <v>3</v>
          </cell>
          <cell r="BT35">
            <v>0</v>
          </cell>
          <cell r="BU35">
            <v>0</v>
          </cell>
          <cell r="BV35">
            <v>4</v>
          </cell>
          <cell r="BW35">
            <v>0</v>
          </cell>
          <cell r="BX35">
            <v>2</v>
          </cell>
          <cell r="BY35">
            <v>0</v>
          </cell>
          <cell r="BZ35">
            <v>1</v>
          </cell>
          <cell r="CA35">
            <v>2</v>
          </cell>
          <cell r="CB35">
            <v>3</v>
          </cell>
          <cell r="CC35">
            <v>1</v>
          </cell>
          <cell r="CD35">
            <v>2</v>
          </cell>
          <cell r="CE35">
            <v>1</v>
          </cell>
          <cell r="CF35">
            <v>4</v>
          </cell>
          <cell r="CG35">
            <v>1</v>
          </cell>
          <cell r="CH35">
            <v>0</v>
          </cell>
          <cell r="CI35">
            <v>1</v>
          </cell>
          <cell r="CJ35">
            <v>5</v>
          </cell>
          <cell r="CK35">
            <v>2</v>
          </cell>
          <cell r="CL35">
            <v>1</v>
          </cell>
          <cell r="CM35">
            <v>0</v>
          </cell>
          <cell r="CN35">
            <v>1</v>
          </cell>
          <cell r="CO35">
            <v>1</v>
          </cell>
          <cell r="CP35">
            <v>3</v>
          </cell>
          <cell r="CQ35">
            <v>1</v>
          </cell>
          <cell r="CR35">
            <v>2</v>
          </cell>
          <cell r="CS35">
            <v>2</v>
          </cell>
          <cell r="CT35">
            <v>0</v>
          </cell>
          <cell r="CU35">
            <v>2</v>
          </cell>
          <cell r="CV35">
            <v>1</v>
          </cell>
          <cell r="CW35">
            <v>0</v>
          </cell>
          <cell r="CX35">
            <v>1</v>
          </cell>
          <cell r="CY35">
            <v>3</v>
          </cell>
          <cell r="CZ35">
            <v>0</v>
          </cell>
          <cell r="DA35">
            <v>2</v>
          </cell>
          <cell r="DB35">
            <v>1</v>
          </cell>
          <cell r="DC35">
            <v>4</v>
          </cell>
          <cell r="DD35">
            <v>1</v>
          </cell>
          <cell r="DE35">
            <v>2</v>
          </cell>
          <cell r="DF35">
            <v>0</v>
          </cell>
          <cell r="DG35">
            <v>3</v>
          </cell>
          <cell r="DH35">
            <v>1</v>
          </cell>
          <cell r="DI35">
            <v>2</v>
          </cell>
          <cell r="DJ35">
            <v>1</v>
          </cell>
          <cell r="DK35">
            <v>2</v>
          </cell>
          <cell r="DL35">
            <v>1</v>
          </cell>
          <cell r="DM35">
            <v>1</v>
          </cell>
          <cell r="DN35">
            <v>0</v>
          </cell>
          <cell r="DO35">
            <v>2</v>
          </cell>
          <cell r="DP35">
            <v>1</v>
          </cell>
          <cell r="DQ35">
            <v>2</v>
          </cell>
          <cell r="DR35">
            <v>1</v>
          </cell>
          <cell r="DS35">
            <v>1</v>
          </cell>
          <cell r="DT35">
            <v>3</v>
          </cell>
          <cell r="DU35">
            <v>1</v>
          </cell>
          <cell r="DV35">
            <v>2</v>
          </cell>
          <cell r="DW35">
            <v>3</v>
          </cell>
          <cell r="DX35">
            <v>1</v>
          </cell>
          <cell r="DY35">
            <v>1</v>
          </cell>
          <cell r="DZ35">
            <v>2</v>
          </cell>
        </row>
        <row r="36">
          <cell r="A36">
            <v>32</v>
          </cell>
          <cell r="B36" t="str">
            <v xml:space="preserve">Roberto Fonnegra </v>
          </cell>
          <cell r="C36">
            <v>1</v>
          </cell>
          <cell r="D36">
            <v>0</v>
          </cell>
          <cell r="E36">
            <v>1</v>
          </cell>
          <cell r="F36">
            <v>2</v>
          </cell>
          <cell r="G36">
            <v>1</v>
          </cell>
          <cell r="H36">
            <v>0</v>
          </cell>
          <cell r="I36">
            <v>1</v>
          </cell>
          <cell r="J36">
            <v>3</v>
          </cell>
          <cell r="K36">
            <v>3</v>
          </cell>
          <cell r="L36">
            <v>0</v>
          </cell>
          <cell r="M36">
            <v>1</v>
          </cell>
          <cell r="N36">
            <v>0</v>
          </cell>
          <cell r="O36">
            <v>1</v>
          </cell>
          <cell r="P36">
            <v>0</v>
          </cell>
          <cell r="Q36">
            <v>1</v>
          </cell>
          <cell r="R36">
            <v>0</v>
          </cell>
          <cell r="S36">
            <v>0</v>
          </cell>
          <cell r="T36">
            <v>0</v>
          </cell>
          <cell r="U36">
            <v>2</v>
          </cell>
          <cell r="V36">
            <v>0</v>
          </cell>
          <cell r="W36">
            <v>4</v>
          </cell>
          <cell r="X36">
            <v>0</v>
          </cell>
          <cell r="Y36">
            <v>1</v>
          </cell>
          <cell r="Z36">
            <v>0</v>
          </cell>
          <cell r="AA36">
            <v>2</v>
          </cell>
          <cell r="AB36">
            <v>1</v>
          </cell>
          <cell r="AC36">
            <v>0</v>
          </cell>
          <cell r="AD36">
            <v>1</v>
          </cell>
          <cell r="AE36">
            <v>1</v>
          </cell>
          <cell r="AF36">
            <v>0</v>
          </cell>
          <cell r="AG36">
            <v>2</v>
          </cell>
          <cell r="AH36">
            <v>0</v>
          </cell>
          <cell r="AI36">
            <v>0</v>
          </cell>
          <cell r="AJ36">
            <v>0</v>
          </cell>
          <cell r="AK36">
            <v>2</v>
          </cell>
          <cell r="AL36">
            <v>0</v>
          </cell>
          <cell r="AM36">
            <v>3</v>
          </cell>
          <cell r="AN36">
            <v>0</v>
          </cell>
          <cell r="AO36">
            <v>0</v>
          </cell>
          <cell r="AP36">
            <v>4</v>
          </cell>
          <cell r="AQ36">
            <v>2</v>
          </cell>
          <cell r="AR36">
            <v>0</v>
          </cell>
          <cell r="AS36">
            <v>1</v>
          </cell>
          <cell r="AT36">
            <v>0</v>
          </cell>
          <cell r="AU36">
            <v>2</v>
          </cell>
          <cell r="AV36">
            <v>1</v>
          </cell>
          <cell r="AW36">
            <v>3</v>
          </cell>
          <cell r="AX36">
            <v>1</v>
          </cell>
          <cell r="AY36">
            <v>0</v>
          </cell>
          <cell r="AZ36">
            <v>0</v>
          </cell>
          <cell r="BA36">
            <v>0</v>
          </cell>
          <cell r="BB36">
            <v>1</v>
          </cell>
          <cell r="BC36">
            <v>3</v>
          </cell>
          <cell r="BD36">
            <v>0</v>
          </cell>
          <cell r="BE36">
            <v>2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0</v>
          </cell>
          <cell r="BL36">
            <v>1</v>
          </cell>
          <cell r="BM36">
            <v>1</v>
          </cell>
          <cell r="BN36">
            <v>2</v>
          </cell>
          <cell r="BO36">
            <v>2</v>
          </cell>
          <cell r="BP36">
            <v>0</v>
          </cell>
          <cell r="BQ36">
            <v>0</v>
          </cell>
          <cell r="BR36">
            <v>1</v>
          </cell>
          <cell r="BS36">
            <v>3</v>
          </cell>
          <cell r="BT36">
            <v>0</v>
          </cell>
          <cell r="BU36">
            <v>0</v>
          </cell>
          <cell r="BV36">
            <v>2</v>
          </cell>
          <cell r="BW36">
            <v>1</v>
          </cell>
          <cell r="BX36">
            <v>3</v>
          </cell>
          <cell r="BY36">
            <v>0</v>
          </cell>
          <cell r="BZ36">
            <v>1</v>
          </cell>
          <cell r="CA36">
            <v>0</v>
          </cell>
          <cell r="CB36">
            <v>1</v>
          </cell>
          <cell r="CC36">
            <v>2</v>
          </cell>
          <cell r="CD36">
            <v>3</v>
          </cell>
          <cell r="CE36">
            <v>0</v>
          </cell>
          <cell r="CF36">
            <v>3</v>
          </cell>
          <cell r="CG36">
            <v>1</v>
          </cell>
          <cell r="CH36">
            <v>1</v>
          </cell>
          <cell r="CI36">
            <v>0</v>
          </cell>
          <cell r="CJ36">
            <v>3</v>
          </cell>
          <cell r="CK36">
            <v>2</v>
          </cell>
          <cell r="CL36">
            <v>2</v>
          </cell>
          <cell r="CM36">
            <v>1</v>
          </cell>
          <cell r="CN36">
            <v>1</v>
          </cell>
          <cell r="CO36">
            <v>0</v>
          </cell>
          <cell r="CP36">
            <v>1</v>
          </cell>
          <cell r="CQ36">
            <v>1</v>
          </cell>
          <cell r="CR36">
            <v>2</v>
          </cell>
          <cell r="CS36">
            <v>0</v>
          </cell>
          <cell r="CT36">
            <v>0</v>
          </cell>
          <cell r="CU36">
            <v>2</v>
          </cell>
          <cell r="CV36">
            <v>1</v>
          </cell>
          <cell r="CW36">
            <v>1</v>
          </cell>
          <cell r="CX36">
            <v>1</v>
          </cell>
          <cell r="CY36">
            <v>3</v>
          </cell>
          <cell r="CZ36">
            <v>0</v>
          </cell>
          <cell r="DA36">
            <v>1</v>
          </cell>
          <cell r="DB36">
            <v>0</v>
          </cell>
          <cell r="DC36">
            <v>4</v>
          </cell>
          <cell r="DD36">
            <v>0</v>
          </cell>
          <cell r="DE36">
            <v>2</v>
          </cell>
          <cell r="DF36">
            <v>1</v>
          </cell>
          <cell r="DG36">
            <v>2</v>
          </cell>
          <cell r="DH36">
            <v>0</v>
          </cell>
          <cell r="DI36">
            <v>2</v>
          </cell>
          <cell r="DJ36">
            <v>1</v>
          </cell>
          <cell r="DK36">
            <v>2</v>
          </cell>
          <cell r="DL36">
            <v>1</v>
          </cell>
          <cell r="DM36">
            <v>1</v>
          </cell>
          <cell r="DN36">
            <v>1</v>
          </cell>
          <cell r="DO36">
            <v>2</v>
          </cell>
          <cell r="DP36">
            <v>1</v>
          </cell>
          <cell r="DQ36">
            <v>2</v>
          </cell>
          <cell r="DR36">
            <v>1</v>
          </cell>
          <cell r="DS36">
            <v>0</v>
          </cell>
          <cell r="DT36">
            <v>1</v>
          </cell>
          <cell r="DU36">
            <v>1</v>
          </cell>
          <cell r="DV36">
            <v>2</v>
          </cell>
          <cell r="DW36">
            <v>1</v>
          </cell>
          <cell r="DX36">
            <v>0</v>
          </cell>
          <cell r="DY36">
            <v>2</v>
          </cell>
          <cell r="DZ36">
            <v>1</v>
          </cell>
        </row>
        <row r="37">
          <cell r="A37">
            <v>33</v>
          </cell>
          <cell r="B37" t="str">
            <v>Santiago Arbouin</v>
          </cell>
          <cell r="C37">
            <v>2</v>
          </cell>
          <cell r="D37">
            <v>1</v>
          </cell>
          <cell r="E37">
            <v>1</v>
          </cell>
          <cell r="F37">
            <v>3</v>
          </cell>
          <cell r="G37">
            <v>2</v>
          </cell>
          <cell r="H37">
            <v>2</v>
          </cell>
          <cell r="I37">
            <v>1</v>
          </cell>
          <cell r="J37">
            <v>2</v>
          </cell>
          <cell r="K37">
            <v>2</v>
          </cell>
          <cell r="L37">
            <v>0</v>
          </cell>
          <cell r="M37">
            <v>3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2</v>
          </cell>
          <cell r="T37">
            <v>0</v>
          </cell>
          <cell r="U37">
            <v>2</v>
          </cell>
          <cell r="V37">
            <v>1</v>
          </cell>
          <cell r="W37">
            <v>3</v>
          </cell>
          <cell r="X37">
            <v>0</v>
          </cell>
          <cell r="Y37">
            <v>2</v>
          </cell>
          <cell r="Z37">
            <v>0</v>
          </cell>
          <cell r="AA37">
            <v>3</v>
          </cell>
          <cell r="AB37">
            <v>0</v>
          </cell>
          <cell r="AC37">
            <v>0</v>
          </cell>
          <cell r="AD37">
            <v>3</v>
          </cell>
          <cell r="AE37">
            <v>2</v>
          </cell>
          <cell r="AF37">
            <v>0</v>
          </cell>
          <cell r="AG37">
            <v>2</v>
          </cell>
          <cell r="AH37">
            <v>0</v>
          </cell>
          <cell r="AI37">
            <v>1</v>
          </cell>
          <cell r="AJ37">
            <v>1</v>
          </cell>
          <cell r="AK37">
            <v>2</v>
          </cell>
          <cell r="AL37">
            <v>0</v>
          </cell>
          <cell r="AM37">
            <v>2</v>
          </cell>
          <cell r="AN37">
            <v>0</v>
          </cell>
          <cell r="AO37">
            <v>0</v>
          </cell>
          <cell r="AP37">
            <v>4</v>
          </cell>
          <cell r="AQ37">
            <v>3</v>
          </cell>
          <cell r="AR37">
            <v>0</v>
          </cell>
          <cell r="AS37">
            <v>2</v>
          </cell>
          <cell r="AT37">
            <v>0</v>
          </cell>
          <cell r="AU37">
            <v>2</v>
          </cell>
          <cell r="AV37">
            <v>0</v>
          </cell>
          <cell r="AW37">
            <v>3</v>
          </cell>
          <cell r="AX37">
            <v>0</v>
          </cell>
          <cell r="AY37">
            <v>2</v>
          </cell>
          <cell r="AZ37">
            <v>0</v>
          </cell>
          <cell r="BA37">
            <v>1</v>
          </cell>
          <cell r="BB37">
            <v>0</v>
          </cell>
          <cell r="BC37">
            <v>2</v>
          </cell>
          <cell r="BD37">
            <v>0</v>
          </cell>
          <cell r="BE37">
            <v>2</v>
          </cell>
          <cell r="BF37">
            <v>1</v>
          </cell>
          <cell r="BG37">
            <v>2</v>
          </cell>
          <cell r="BH37">
            <v>1</v>
          </cell>
          <cell r="BI37">
            <v>2</v>
          </cell>
          <cell r="BJ37">
            <v>0</v>
          </cell>
          <cell r="BK37">
            <v>1</v>
          </cell>
          <cell r="BL37">
            <v>1</v>
          </cell>
          <cell r="BM37">
            <v>1</v>
          </cell>
          <cell r="BN37">
            <v>2</v>
          </cell>
          <cell r="BO37">
            <v>2</v>
          </cell>
          <cell r="BP37">
            <v>1</v>
          </cell>
          <cell r="BQ37">
            <v>0</v>
          </cell>
          <cell r="BR37">
            <v>2</v>
          </cell>
          <cell r="BS37">
            <v>2</v>
          </cell>
          <cell r="BT37">
            <v>0</v>
          </cell>
          <cell r="BU37">
            <v>0</v>
          </cell>
          <cell r="BV37">
            <v>1</v>
          </cell>
          <cell r="BW37">
            <v>0</v>
          </cell>
          <cell r="BX37">
            <v>1</v>
          </cell>
          <cell r="BY37">
            <v>0</v>
          </cell>
          <cell r="BZ37">
            <v>2</v>
          </cell>
          <cell r="CA37">
            <v>0</v>
          </cell>
          <cell r="CB37">
            <v>1</v>
          </cell>
          <cell r="CC37">
            <v>2</v>
          </cell>
          <cell r="CD37">
            <v>2</v>
          </cell>
          <cell r="CE37">
            <v>0</v>
          </cell>
          <cell r="CF37">
            <v>3</v>
          </cell>
          <cell r="CG37">
            <v>0</v>
          </cell>
          <cell r="CH37">
            <v>2</v>
          </cell>
          <cell r="CI37">
            <v>1</v>
          </cell>
          <cell r="CJ37">
            <v>2</v>
          </cell>
          <cell r="CK37">
            <v>1</v>
          </cell>
          <cell r="CL37">
            <v>2</v>
          </cell>
          <cell r="CM37">
            <v>2</v>
          </cell>
          <cell r="CN37">
            <v>2</v>
          </cell>
          <cell r="CO37">
            <v>1</v>
          </cell>
          <cell r="CP37">
            <v>3</v>
          </cell>
          <cell r="CQ37">
            <v>2</v>
          </cell>
          <cell r="CR37">
            <v>2</v>
          </cell>
          <cell r="CS37">
            <v>1</v>
          </cell>
          <cell r="CT37">
            <v>1</v>
          </cell>
          <cell r="CU37">
            <v>2</v>
          </cell>
          <cell r="CV37">
            <v>0</v>
          </cell>
          <cell r="CW37">
            <v>2</v>
          </cell>
          <cell r="CX37">
            <v>2</v>
          </cell>
          <cell r="CY37">
            <v>4</v>
          </cell>
          <cell r="CZ37">
            <v>0</v>
          </cell>
          <cell r="DA37">
            <v>3</v>
          </cell>
          <cell r="DB37">
            <v>1</v>
          </cell>
          <cell r="DC37">
            <v>2</v>
          </cell>
          <cell r="DD37">
            <v>1</v>
          </cell>
          <cell r="DE37">
            <v>0</v>
          </cell>
          <cell r="DF37">
            <v>2</v>
          </cell>
          <cell r="DG37">
            <v>3</v>
          </cell>
          <cell r="DH37">
            <v>0</v>
          </cell>
          <cell r="DI37">
            <v>3</v>
          </cell>
          <cell r="DJ37">
            <v>1</v>
          </cell>
          <cell r="DK37">
            <v>2</v>
          </cell>
          <cell r="DL37">
            <v>0</v>
          </cell>
          <cell r="DM37">
            <v>2</v>
          </cell>
          <cell r="DN37">
            <v>0</v>
          </cell>
          <cell r="DO37">
            <v>2</v>
          </cell>
          <cell r="DP37">
            <v>2</v>
          </cell>
          <cell r="DQ37">
            <v>2</v>
          </cell>
          <cell r="DR37">
            <v>1</v>
          </cell>
          <cell r="DS37">
            <v>1</v>
          </cell>
          <cell r="DT37">
            <v>3</v>
          </cell>
          <cell r="DU37">
            <v>1</v>
          </cell>
          <cell r="DV37">
            <v>2</v>
          </cell>
          <cell r="DW37">
            <v>1</v>
          </cell>
          <cell r="DX37">
            <v>2</v>
          </cell>
          <cell r="DY37">
            <v>3</v>
          </cell>
          <cell r="DZ37">
            <v>2</v>
          </cell>
        </row>
        <row r="38">
          <cell r="A38">
            <v>34</v>
          </cell>
          <cell r="B38" t="str">
            <v>Sebastián Aguirre</v>
          </cell>
          <cell r="C38">
            <v>0</v>
          </cell>
          <cell r="D38">
            <v>0</v>
          </cell>
          <cell r="E38">
            <v>1</v>
          </cell>
          <cell r="F38">
            <v>2</v>
          </cell>
          <cell r="G38">
            <v>1</v>
          </cell>
          <cell r="H38">
            <v>2</v>
          </cell>
          <cell r="I38">
            <v>2</v>
          </cell>
          <cell r="J38">
            <v>3</v>
          </cell>
          <cell r="K38">
            <v>3</v>
          </cell>
          <cell r="L38">
            <v>1</v>
          </cell>
          <cell r="M38">
            <v>3</v>
          </cell>
          <cell r="N38">
            <v>0</v>
          </cell>
          <cell r="O38">
            <v>1</v>
          </cell>
          <cell r="P38">
            <v>2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3</v>
          </cell>
          <cell r="X38">
            <v>0</v>
          </cell>
          <cell r="Y38">
            <v>2</v>
          </cell>
          <cell r="Z38">
            <v>1</v>
          </cell>
          <cell r="AA38">
            <v>2</v>
          </cell>
          <cell r="AB38">
            <v>0</v>
          </cell>
          <cell r="AC38">
            <v>0</v>
          </cell>
          <cell r="AD38">
            <v>1</v>
          </cell>
          <cell r="AE38">
            <v>2</v>
          </cell>
          <cell r="AF38">
            <v>1</v>
          </cell>
          <cell r="AG38">
            <v>2</v>
          </cell>
          <cell r="AH38">
            <v>0</v>
          </cell>
          <cell r="AI38">
            <v>0</v>
          </cell>
          <cell r="AJ38">
            <v>2</v>
          </cell>
          <cell r="AK38">
            <v>2</v>
          </cell>
          <cell r="AL38">
            <v>0</v>
          </cell>
          <cell r="AM38">
            <v>2</v>
          </cell>
          <cell r="AN38">
            <v>1</v>
          </cell>
          <cell r="AO38">
            <v>1</v>
          </cell>
          <cell r="AP38">
            <v>3</v>
          </cell>
          <cell r="AQ38">
            <v>3</v>
          </cell>
          <cell r="AR38">
            <v>1</v>
          </cell>
          <cell r="AS38">
            <v>2</v>
          </cell>
          <cell r="AT38">
            <v>2</v>
          </cell>
          <cell r="AU38">
            <v>2</v>
          </cell>
          <cell r="AV38">
            <v>1</v>
          </cell>
          <cell r="AW38">
            <v>2</v>
          </cell>
          <cell r="AX38">
            <v>1</v>
          </cell>
          <cell r="AY38">
            <v>1</v>
          </cell>
          <cell r="AZ38">
            <v>1</v>
          </cell>
          <cell r="BA38">
            <v>3</v>
          </cell>
          <cell r="BB38">
            <v>2</v>
          </cell>
          <cell r="BC38">
            <v>3</v>
          </cell>
          <cell r="BD38">
            <v>1</v>
          </cell>
          <cell r="BE38">
            <v>3</v>
          </cell>
          <cell r="BF38">
            <v>1</v>
          </cell>
          <cell r="BG38">
            <v>2</v>
          </cell>
          <cell r="BH38">
            <v>3</v>
          </cell>
          <cell r="BI38">
            <v>2</v>
          </cell>
          <cell r="BJ38">
            <v>0</v>
          </cell>
          <cell r="BK38">
            <v>1</v>
          </cell>
          <cell r="BL38">
            <v>1</v>
          </cell>
          <cell r="BM38">
            <v>1</v>
          </cell>
          <cell r="BN38">
            <v>3</v>
          </cell>
          <cell r="BO38">
            <v>2</v>
          </cell>
          <cell r="BP38">
            <v>0</v>
          </cell>
          <cell r="BQ38">
            <v>0</v>
          </cell>
          <cell r="BR38">
            <v>1</v>
          </cell>
          <cell r="BS38">
            <v>3</v>
          </cell>
          <cell r="BT38">
            <v>0</v>
          </cell>
          <cell r="BU38">
            <v>1</v>
          </cell>
          <cell r="BV38">
            <v>2</v>
          </cell>
          <cell r="BW38">
            <v>1</v>
          </cell>
          <cell r="BX38">
            <v>2</v>
          </cell>
          <cell r="BY38">
            <v>1</v>
          </cell>
          <cell r="BZ38">
            <v>2</v>
          </cell>
          <cell r="CA38">
            <v>2</v>
          </cell>
          <cell r="CB38">
            <v>1</v>
          </cell>
          <cell r="CC38">
            <v>1</v>
          </cell>
          <cell r="CD38">
            <v>3</v>
          </cell>
          <cell r="CE38">
            <v>1</v>
          </cell>
          <cell r="CF38">
            <v>4</v>
          </cell>
          <cell r="CG38">
            <v>1</v>
          </cell>
          <cell r="CH38">
            <v>0</v>
          </cell>
          <cell r="CI38">
            <v>0</v>
          </cell>
          <cell r="CJ38">
            <v>4</v>
          </cell>
          <cell r="CK38">
            <v>1</v>
          </cell>
          <cell r="CL38">
            <v>2</v>
          </cell>
          <cell r="CM38">
            <v>1</v>
          </cell>
          <cell r="CN38">
            <v>2</v>
          </cell>
          <cell r="CO38">
            <v>2</v>
          </cell>
          <cell r="CP38">
            <v>3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3</v>
          </cell>
          <cell r="CV38">
            <v>1</v>
          </cell>
          <cell r="CW38">
            <v>1</v>
          </cell>
          <cell r="CX38">
            <v>2</v>
          </cell>
          <cell r="CY38">
            <v>2</v>
          </cell>
          <cell r="CZ38">
            <v>1</v>
          </cell>
          <cell r="DA38">
            <v>2</v>
          </cell>
          <cell r="DB38">
            <v>0</v>
          </cell>
          <cell r="DC38">
            <v>3</v>
          </cell>
          <cell r="DD38">
            <v>1</v>
          </cell>
          <cell r="DE38">
            <v>2</v>
          </cell>
          <cell r="DF38">
            <v>1</v>
          </cell>
          <cell r="DG38">
            <v>3</v>
          </cell>
          <cell r="DH38">
            <v>0</v>
          </cell>
          <cell r="DI38">
            <v>2</v>
          </cell>
          <cell r="DJ38">
            <v>1</v>
          </cell>
          <cell r="DK38">
            <v>2</v>
          </cell>
          <cell r="DL38">
            <v>1</v>
          </cell>
          <cell r="DM38">
            <v>3</v>
          </cell>
          <cell r="DN38">
            <v>1</v>
          </cell>
          <cell r="DO38">
            <v>1</v>
          </cell>
          <cell r="DP38">
            <v>2</v>
          </cell>
          <cell r="DQ38">
            <v>1</v>
          </cell>
          <cell r="DR38">
            <v>1</v>
          </cell>
          <cell r="DS38">
            <v>1</v>
          </cell>
          <cell r="DT38">
            <v>2</v>
          </cell>
          <cell r="DU38">
            <v>2</v>
          </cell>
          <cell r="DV38">
            <v>2</v>
          </cell>
          <cell r="DW38">
            <v>1</v>
          </cell>
          <cell r="DX38">
            <v>2</v>
          </cell>
          <cell r="DY38">
            <v>3</v>
          </cell>
          <cell r="DZ38">
            <v>1</v>
          </cell>
        </row>
        <row r="39">
          <cell r="A39">
            <v>35</v>
          </cell>
          <cell r="B39" t="str">
            <v>Martín Fonseca</v>
          </cell>
          <cell r="C39">
            <v>2</v>
          </cell>
          <cell r="D39">
            <v>0</v>
          </cell>
          <cell r="E39">
            <v>1</v>
          </cell>
          <cell r="F39">
            <v>3</v>
          </cell>
          <cell r="G39">
            <v>1</v>
          </cell>
          <cell r="H39">
            <v>1</v>
          </cell>
          <cell r="I39">
            <v>1</v>
          </cell>
          <cell r="J39">
            <v>3</v>
          </cell>
          <cell r="K39">
            <v>3</v>
          </cell>
          <cell r="L39">
            <v>0</v>
          </cell>
          <cell r="M39">
            <v>1</v>
          </cell>
          <cell r="N39">
            <v>1</v>
          </cell>
          <cell r="O39">
            <v>2</v>
          </cell>
          <cell r="P39">
            <v>2</v>
          </cell>
          <cell r="Q39">
            <v>2</v>
          </cell>
          <cell r="R39">
            <v>2</v>
          </cell>
          <cell r="S39">
            <v>1</v>
          </cell>
          <cell r="T39">
            <v>1</v>
          </cell>
          <cell r="U39">
            <v>4</v>
          </cell>
          <cell r="V39">
            <v>0</v>
          </cell>
          <cell r="W39">
            <v>3</v>
          </cell>
          <cell r="X39">
            <v>1</v>
          </cell>
          <cell r="Y39">
            <v>3</v>
          </cell>
          <cell r="Z39">
            <v>0</v>
          </cell>
          <cell r="AA39">
            <v>4</v>
          </cell>
          <cell r="AB39">
            <v>0</v>
          </cell>
          <cell r="AC39">
            <v>0</v>
          </cell>
          <cell r="AD39">
            <v>3</v>
          </cell>
          <cell r="AE39">
            <v>2</v>
          </cell>
          <cell r="AF39">
            <v>0</v>
          </cell>
          <cell r="AG39">
            <v>3</v>
          </cell>
          <cell r="AH39">
            <v>0</v>
          </cell>
          <cell r="AI39">
            <v>1</v>
          </cell>
          <cell r="AJ39">
            <v>2</v>
          </cell>
          <cell r="AK39">
            <v>2</v>
          </cell>
          <cell r="AL39">
            <v>0</v>
          </cell>
          <cell r="AM39">
            <v>3</v>
          </cell>
          <cell r="AN39">
            <v>0</v>
          </cell>
          <cell r="AO39">
            <v>0</v>
          </cell>
          <cell r="AP39">
            <v>4</v>
          </cell>
          <cell r="AQ39">
            <v>3</v>
          </cell>
          <cell r="AR39">
            <v>1</v>
          </cell>
          <cell r="AS39">
            <v>1</v>
          </cell>
          <cell r="AT39">
            <v>0</v>
          </cell>
          <cell r="AU39">
            <v>2</v>
          </cell>
          <cell r="AV39">
            <v>1</v>
          </cell>
          <cell r="AW39">
            <v>2</v>
          </cell>
          <cell r="AX39">
            <v>0</v>
          </cell>
          <cell r="AY39">
            <v>0</v>
          </cell>
          <cell r="AZ39">
            <v>1</v>
          </cell>
          <cell r="BA39">
            <v>1</v>
          </cell>
          <cell r="BB39">
            <v>1</v>
          </cell>
          <cell r="BC39">
            <v>5</v>
          </cell>
          <cell r="BD39">
            <v>0</v>
          </cell>
          <cell r="BE39">
            <v>4</v>
          </cell>
          <cell r="BF39">
            <v>1</v>
          </cell>
          <cell r="BG39">
            <v>0</v>
          </cell>
          <cell r="BH39">
            <v>3</v>
          </cell>
          <cell r="BI39">
            <v>3</v>
          </cell>
          <cell r="BJ39">
            <v>1</v>
          </cell>
          <cell r="BK39">
            <v>2</v>
          </cell>
          <cell r="BL39">
            <v>2</v>
          </cell>
          <cell r="BM39">
            <v>0</v>
          </cell>
          <cell r="BN39">
            <v>1</v>
          </cell>
          <cell r="BO39">
            <v>2</v>
          </cell>
          <cell r="BP39">
            <v>0</v>
          </cell>
          <cell r="BQ39">
            <v>1</v>
          </cell>
          <cell r="BR39">
            <v>2</v>
          </cell>
          <cell r="BS39">
            <v>3</v>
          </cell>
          <cell r="BT39">
            <v>0</v>
          </cell>
          <cell r="BU39">
            <v>0</v>
          </cell>
          <cell r="BV39">
            <v>1</v>
          </cell>
          <cell r="BW39">
            <v>1</v>
          </cell>
          <cell r="BX39">
            <v>2</v>
          </cell>
          <cell r="BY39">
            <v>0</v>
          </cell>
          <cell r="BZ39">
            <v>2</v>
          </cell>
          <cell r="CA39">
            <v>0</v>
          </cell>
          <cell r="CB39">
            <v>0</v>
          </cell>
          <cell r="CC39">
            <v>0</v>
          </cell>
          <cell r="CD39">
            <v>2</v>
          </cell>
          <cell r="CE39">
            <v>0</v>
          </cell>
          <cell r="CF39">
            <v>5</v>
          </cell>
          <cell r="CG39">
            <v>1</v>
          </cell>
          <cell r="CH39">
            <v>2</v>
          </cell>
          <cell r="CI39">
            <v>0</v>
          </cell>
          <cell r="CJ39">
            <v>3</v>
          </cell>
          <cell r="CK39">
            <v>1</v>
          </cell>
          <cell r="CL39">
            <v>0</v>
          </cell>
          <cell r="CM39">
            <v>0</v>
          </cell>
          <cell r="CN39">
            <v>1</v>
          </cell>
          <cell r="CO39">
            <v>1</v>
          </cell>
          <cell r="CP39">
            <v>2</v>
          </cell>
          <cell r="CQ39">
            <v>2</v>
          </cell>
          <cell r="CR39">
            <v>3</v>
          </cell>
          <cell r="CS39">
            <v>2</v>
          </cell>
          <cell r="CT39">
            <v>0</v>
          </cell>
          <cell r="CU39">
            <v>4</v>
          </cell>
          <cell r="CV39">
            <v>2</v>
          </cell>
          <cell r="CW39">
            <v>2</v>
          </cell>
          <cell r="CX39">
            <v>2</v>
          </cell>
          <cell r="CY39">
            <v>3</v>
          </cell>
          <cell r="CZ39">
            <v>2</v>
          </cell>
          <cell r="DA39">
            <v>1</v>
          </cell>
          <cell r="DB39">
            <v>1</v>
          </cell>
          <cell r="DC39">
            <v>3</v>
          </cell>
          <cell r="DD39">
            <v>0</v>
          </cell>
          <cell r="DE39">
            <v>3</v>
          </cell>
          <cell r="DF39">
            <v>1</v>
          </cell>
          <cell r="DG39">
            <v>4</v>
          </cell>
          <cell r="DH39">
            <v>0</v>
          </cell>
          <cell r="DI39">
            <v>0</v>
          </cell>
          <cell r="DJ39">
            <v>0</v>
          </cell>
          <cell r="DK39">
            <v>2</v>
          </cell>
          <cell r="DL39">
            <v>1</v>
          </cell>
          <cell r="DM39">
            <v>3</v>
          </cell>
          <cell r="DN39">
            <v>2</v>
          </cell>
          <cell r="DO39">
            <v>3</v>
          </cell>
          <cell r="DP39">
            <v>1</v>
          </cell>
          <cell r="DQ39">
            <v>0</v>
          </cell>
          <cell r="DR39">
            <v>0</v>
          </cell>
          <cell r="DS39">
            <v>2</v>
          </cell>
          <cell r="DT39">
            <v>2</v>
          </cell>
          <cell r="DU39">
            <v>3</v>
          </cell>
          <cell r="DV39">
            <v>1</v>
          </cell>
          <cell r="DW39">
            <v>0</v>
          </cell>
          <cell r="DX39">
            <v>1</v>
          </cell>
          <cell r="DY39">
            <v>0</v>
          </cell>
          <cell r="DZ39">
            <v>0</v>
          </cell>
        </row>
        <row r="40">
          <cell r="A40">
            <v>36</v>
          </cell>
          <cell r="B40" t="str">
            <v>Paulo &amp; Cia</v>
          </cell>
          <cell r="C40">
            <v>2</v>
          </cell>
          <cell r="D40">
            <v>0</v>
          </cell>
          <cell r="E40">
            <v>1</v>
          </cell>
          <cell r="F40">
            <v>2</v>
          </cell>
          <cell r="G40">
            <v>0</v>
          </cell>
          <cell r="H40">
            <v>0</v>
          </cell>
          <cell r="I40">
            <v>1</v>
          </cell>
          <cell r="J40">
            <v>2</v>
          </cell>
          <cell r="K40">
            <v>2</v>
          </cell>
          <cell r="L40">
            <v>0</v>
          </cell>
          <cell r="M40">
            <v>3</v>
          </cell>
          <cell r="N40">
            <v>0</v>
          </cell>
          <cell r="O40">
            <v>2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0</v>
          </cell>
          <cell r="U40">
            <v>2</v>
          </cell>
          <cell r="V40">
            <v>1</v>
          </cell>
          <cell r="W40">
            <v>3</v>
          </cell>
          <cell r="X40">
            <v>1</v>
          </cell>
          <cell r="Y40">
            <v>2</v>
          </cell>
          <cell r="Z40">
            <v>0</v>
          </cell>
          <cell r="AA40">
            <v>2</v>
          </cell>
          <cell r="AB40">
            <v>0</v>
          </cell>
          <cell r="AC40">
            <v>0</v>
          </cell>
          <cell r="AD40">
            <v>3</v>
          </cell>
          <cell r="AE40">
            <v>1</v>
          </cell>
          <cell r="AF40">
            <v>0</v>
          </cell>
          <cell r="AG40">
            <v>2</v>
          </cell>
          <cell r="AH40">
            <v>0</v>
          </cell>
          <cell r="AI40">
            <v>1</v>
          </cell>
          <cell r="AJ40">
            <v>1</v>
          </cell>
          <cell r="AK40">
            <v>2</v>
          </cell>
          <cell r="AL40">
            <v>0</v>
          </cell>
          <cell r="AM40">
            <v>3</v>
          </cell>
          <cell r="AN40">
            <v>0</v>
          </cell>
          <cell r="AO40">
            <v>0</v>
          </cell>
          <cell r="AP40">
            <v>3</v>
          </cell>
          <cell r="AQ40">
            <v>2</v>
          </cell>
          <cell r="AR40">
            <v>1</v>
          </cell>
          <cell r="AS40">
            <v>1</v>
          </cell>
          <cell r="AT40">
            <v>0</v>
          </cell>
          <cell r="AU40">
            <v>2</v>
          </cell>
          <cell r="AV40">
            <v>1</v>
          </cell>
          <cell r="AW40">
            <v>3</v>
          </cell>
          <cell r="AX40">
            <v>0</v>
          </cell>
          <cell r="AY40">
            <v>2</v>
          </cell>
          <cell r="AZ40">
            <v>1</v>
          </cell>
          <cell r="BA40">
            <v>0</v>
          </cell>
          <cell r="BB40">
            <v>1</v>
          </cell>
          <cell r="BC40">
            <v>2</v>
          </cell>
          <cell r="BD40">
            <v>0</v>
          </cell>
          <cell r="BE40">
            <v>2</v>
          </cell>
          <cell r="BF40">
            <v>0</v>
          </cell>
          <cell r="BG40">
            <v>1</v>
          </cell>
          <cell r="BH40">
            <v>3</v>
          </cell>
          <cell r="BI40">
            <v>2</v>
          </cell>
          <cell r="BJ40">
            <v>0</v>
          </cell>
          <cell r="BK40">
            <v>1</v>
          </cell>
          <cell r="BL40">
            <v>1</v>
          </cell>
          <cell r="BM40">
            <v>0</v>
          </cell>
          <cell r="BN40">
            <v>1</v>
          </cell>
          <cell r="BO40">
            <v>2</v>
          </cell>
          <cell r="BP40">
            <v>1</v>
          </cell>
          <cell r="BQ40">
            <v>0</v>
          </cell>
          <cell r="BR40">
            <v>2</v>
          </cell>
          <cell r="BS40">
            <v>3</v>
          </cell>
          <cell r="BT40">
            <v>0</v>
          </cell>
          <cell r="BU40">
            <v>0</v>
          </cell>
          <cell r="BV40">
            <v>2</v>
          </cell>
          <cell r="BW40">
            <v>1</v>
          </cell>
          <cell r="BX40">
            <v>2</v>
          </cell>
          <cell r="BY40">
            <v>0</v>
          </cell>
          <cell r="BZ40">
            <v>1</v>
          </cell>
          <cell r="CA40">
            <v>1</v>
          </cell>
          <cell r="CB40">
            <v>2</v>
          </cell>
          <cell r="CC40">
            <v>1</v>
          </cell>
          <cell r="CD40">
            <v>2</v>
          </cell>
          <cell r="CE40">
            <v>0</v>
          </cell>
          <cell r="CF40">
            <v>3</v>
          </cell>
          <cell r="CG40">
            <v>2</v>
          </cell>
          <cell r="CH40">
            <v>2</v>
          </cell>
          <cell r="CI40">
            <v>0</v>
          </cell>
          <cell r="CJ40">
            <v>4</v>
          </cell>
          <cell r="CK40">
            <v>2</v>
          </cell>
          <cell r="CL40">
            <v>1</v>
          </cell>
          <cell r="CM40">
            <v>0</v>
          </cell>
          <cell r="CN40">
            <v>2</v>
          </cell>
          <cell r="CO40">
            <v>0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0</v>
          </cell>
          <cell r="CU40">
            <v>2</v>
          </cell>
          <cell r="CV40">
            <v>1</v>
          </cell>
          <cell r="CW40">
            <v>1</v>
          </cell>
          <cell r="CX40">
            <v>1</v>
          </cell>
          <cell r="CY40">
            <v>2</v>
          </cell>
          <cell r="CZ40">
            <v>0</v>
          </cell>
          <cell r="DA40">
            <v>1</v>
          </cell>
          <cell r="DB40">
            <v>0</v>
          </cell>
          <cell r="DC40">
            <v>2</v>
          </cell>
          <cell r="DD40">
            <v>1</v>
          </cell>
          <cell r="DE40">
            <v>1</v>
          </cell>
          <cell r="DF40">
            <v>0</v>
          </cell>
          <cell r="DG40">
            <v>2</v>
          </cell>
          <cell r="DH40">
            <v>0</v>
          </cell>
          <cell r="DI40">
            <v>1</v>
          </cell>
          <cell r="DJ40">
            <v>1</v>
          </cell>
          <cell r="DK40">
            <v>2</v>
          </cell>
          <cell r="DL40">
            <v>1</v>
          </cell>
          <cell r="DM40">
            <v>2</v>
          </cell>
          <cell r="DN40">
            <v>0</v>
          </cell>
          <cell r="DO40">
            <v>2</v>
          </cell>
          <cell r="DP40">
            <v>1</v>
          </cell>
          <cell r="DQ40">
            <v>2</v>
          </cell>
          <cell r="DR40">
            <v>1</v>
          </cell>
          <cell r="DS40">
            <v>0</v>
          </cell>
          <cell r="DT40">
            <v>1</v>
          </cell>
          <cell r="DU40">
            <v>2</v>
          </cell>
          <cell r="DV40">
            <v>1</v>
          </cell>
          <cell r="DW40">
            <v>0</v>
          </cell>
          <cell r="DX40">
            <v>1</v>
          </cell>
          <cell r="DY40">
            <v>2</v>
          </cell>
          <cell r="DZ40">
            <v>1</v>
          </cell>
        </row>
        <row r="41">
          <cell r="A41">
            <v>37</v>
          </cell>
          <cell r="B41" t="str">
            <v>Alejandro Fonseca</v>
          </cell>
          <cell r="C41">
            <v>2</v>
          </cell>
          <cell r="D41">
            <v>0</v>
          </cell>
          <cell r="E41">
            <v>1</v>
          </cell>
          <cell r="F41">
            <v>3</v>
          </cell>
          <cell r="G41">
            <v>0</v>
          </cell>
          <cell r="H41">
            <v>1</v>
          </cell>
          <cell r="I41">
            <v>0</v>
          </cell>
          <cell r="J41">
            <v>2</v>
          </cell>
          <cell r="K41">
            <v>3</v>
          </cell>
          <cell r="L41">
            <v>0</v>
          </cell>
          <cell r="M41">
            <v>2</v>
          </cell>
          <cell r="N41">
            <v>0</v>
          </cell>
          <cell r="O41">
            <v>1</v>
          </cell>
          <cell r="P41">
            <v>1</v>
          </cell>
          <cell r="Q41">
            <v>3</v>
          </cell>
          <cell r="R41">
            <v>1</v>
          </cell>
          <cell r="S41">
            <v>1</v>
          </cell>
          <cell r="T41">
            <v>0</v>
          </cell>
          <cell r="U41">
            <v>3</v>
          </cell>
          <cell r="V41">
            <v>1</v>
          </cell>
          <cell r="W41">
            <v>3</v>
          </cell>
          <cell r="X41">
            <v>2</v>
          </cell>
          <cell r="Y41">
            <v>1</v>
          </cell>
          <cell r="Z41">
            <v>0</v>
          </cell>
          <cell r="AA41">
            <v>3</v>
          </cell>
          <cell r="AB41">
            <v>1</v>
          </cell>
          <cell r="AC41">
            <v>1</v>
          </cell>
          <cell r="AD41">
            <v>2</v>
          </cell>
          <cell r="AE41">
            <v>1</v>
          </cell>
          <cell r="AF41">
            <v>0</v>
          </cell>
          <cell r="AG41">
            <v>2</v>
          </cell>
          <cell r="AH41">
            <v>1</v>
          </cell>
          <cell r="AI41">
            <v>1</v>
          </cell>
          <cell r="AJ41">
            <v>3</v>
          </cell>
          <cell r="AK41">
            <v>2</v>
          </cell>
          <cell r="AL41">
            <v>0</v>
          </cell>
          <cell r="AM41">
            <v>2</v>
          </cell>
          <cell r="AN41">
            <v>0</v>
          </cell>
          <cell r="AO41">
            <v>0</v>
          </cell>
          <cell r="AP41">
            <v>4</v>
          </cell>
          <cell r="AQ41">
            <v>2</v>
          </cell>
          <cell r="AR41">
            <v>1</v>
          </cell>
          <cell r="AS41">
            <v>1</v>
          </cell>
          <cell r="AT41">
            <v>0</v>
          </cell>
          <cell r="AU41">
            <v>2</v>
          </cell>
          <cell r="AV41">
            <v>1</v>
          </cell>
          <cell r="AW41">
            <v>3</v>
          </cell>
          <cell r="AX41">
            <v>1</v>
          </cell>
          <cell r="AY41">
            <v>1</v>
          </cell>
          <cell r="AZ41">
            <v>1</v>
          </cell>
          <cell r="BA41">
            <v>0</v>
          </cell>
          <cell r="BB41">
            <v>2</v>
          </cell>
          <cell r="BC41">
            <v>2</v>
          </cell>
          <cell r="BD41">
            <v>0</v>
          </cell>
          <cell r="BE41">
            <v>3</v>
          </cell>
          <cell r="BF41">
            <v>0</v>
          </cell>
          <cell r="BG41">
            <v>1</v>
          </cell>
          <cell r="BH41">
            <v>2</v>
          </cell>
          <cell r="BI41">
            <v>3</v>
          </cell>
          <cell r="BJ41">
            <v>0</v>
          </cell>
          <cell r="BK41">
            <v>1</v>
          </cell>
          <cell r="BL41">
            <v>1</v>
          </cell>
          <cell r="BM41">
            <v>0</v>
          </cell>
          <cell r="BN41">
            <v>1</v>
          </cell>
          <cell r="BO41">
            <v>1</v>
          </cell>
          <cell r="BP41">
            <v>1</v>
          </cell>
          <cell r="BQ41">
            <v>0</v>
          </cell>
          <cell r="BR41">
            <v>2</v>
          </cell>
          <cell r="BS41">
            <v>3</v>
          </cell>
          <cell r="BT41">
            <v>0</v>
          </cell>
          <cell r="BU41">
            <v>1</v>
          </cell>
          <cell r="BV41">
            <v>2</v>
          </cell>
          <cell r="BW41">
            <v>0</v>
          </cell>
          <cell r="BX41">
            <v>3</v>
          </cell>
          <cell r="BY41">
            <v>0</v>
          </cell>
          <cell r="BZ41">
            <v>2</v>
          </cell>
          <cell r="CA41">
            <v>2</v>
          </cell>
          <cell r="CB41">
            <v>3</v>
          </cell>
          <cell r="CC41">
            <v>0</v>
          </cell>
          <cell r="CD41">
            <v>2</v>
          </cell>
          <cell r="CE41">
            <v>1</v>
          </cell>
          <cell r="CF41">
            <v>4</v>
          </cell>
          <cell r="CG41">
            <v>1</v>
          </cell>
          <cell r="CH41">
            <v>1</v>
          </cell>
          <cell r="CI41">
            <v>0</v>
          </cell>
          <cell r="CJ41">
            <v>3</v>
          </cell>
          <cell r="CK41">
            <v>2</v>
          </cell>
          <cell r="CL41">
            <v>1</v>
          </cell>
          <cell r="CM41">
            <v>0</v>
          </cell>
          <cell r="CN41">
            <v>2</v>
          </cell>
          <cell r="CO41">
            <v>0</v>
          </cell>
          <cell r="CP41">
            <v>2</v>
          </cell>
          <cell r="CQ41">
            <v>2</v>
          </cell>
          <cell r="CR41">
            <v>3</v>
          </cell>
          <cell r="CS41">
            <v>1</v>
          </cell>
          <cell r="CT41">
            <v>2</v>
          </cell>
          <cell r="CU41">
            <v>2</v>
          </cell>
          <cell r="CV41">
            <v>1</v>
          </cell>
          <cell r="CW41">
            <v>1</v>
          </cell>
          <cell r="CX41">
            <v>1</v>
          </cell>
          <cell r="CY41">
            <v>3</v>
          </cell>
          <cell r="CZ41">
            <v>1</v>
          </cell>
          <cell r="DA41">
            <v>2</v>
          </cell>
          <cell r="DB41">
            <v>2</v>
          </cell>
          <cell r="DC41">
            <v>2</v>
          </cell>
          <cell r="DD41">
            <v>0</v>
          </cell>
          <cell r="DE41">
            <v>3</v>
          </cell>
          <cell r="DF41">
            <v>1</v>
          </cell>
          <cell r="DG41">
            <v>2</v>
          </cell>
          <cell r="DH41">
            <v>0</v>
          </cell>
          <cell r="DI41">
            <v>2</v>
          </cell>
          <cell r="DJ41">
            <v>2</v>
          </cell>
          <cell r="DK41">
            <v>2</v>
          </cell>
          <cell r="DL41">
            <v>1</v>
          </cell>
          <cell r="DM41">
            <v>2</v>
          </cell>
          <cell r="DN41">
            <v>1</v>
          </cell>
          <cell r="DO41">
            <v>3</v>
          </cell>
          <cell r="DP41">
            <v>1</v>
          </cell>
          <cell r="DQ41">
            <v>2</v>
          </cell>
          <cell r="DR41">
            <v>1</v>
          </cell>
          <cell r="DS41">
            <v>1</v>
          </cell>
          <cell r="DT41">
            <v>1</v>
          </cell>
          <cell r="DU41">
            <v>2</v>
          </cell>
          <cell r="DV41">
            <v>1</v>
          </cell>
          <cell r="DW41">
            <v>0</v>
          </cell>
          <cell r="DX41">
            <v>2</v>
          </cell>
          <cell r="DY41">
            <v>1</v>
          </cell>
          <cell r="DZ41">
            <v>2</v>
          </cell>
        </row>
        <row r="42">
          <cell r="A42">
            <v>38</v>
          </cell>
          <cell r="B42" t="str">
            <v>Juan Carlos Pelaez</v>
          </cell>
          <cell r="C42">
            <v>2</v>
          </cell>
          <cell r="D42">
            <v>0</v>
          </cell>
          <cell r="E42">
            <v>1</v>
          </cell>
          <cell r="F42">
            <v>1</v>
          </cell>
          <cell r="G42">
            <v>1</v>
          </cell>
          <cell r="H42">
            <v>0</v>
          </cell>
          <cell r="I42">
            <v>1</v>
          </cell>
          <cell r="J42">
            <v>3</v>
          </cell>
          <cell r="K42">
            <v>2</v>
          </cell>
          <cell r="L42">
            <v>0</v>
          </cell>
          <cell r="M42">
            <v>1</v>
          </cell>
          <cell r="N42">
            <v>0</v>
          </cell>
          <cell r="O42">
            <v>1</v>
          </cell>
          <cell r="P42">
            <v>0</v>
          </cell>
          <cell r="Q42">
            <v>2</v>
          </cell>
          <cell r="R42">
            <v>0</v>
          </cell>
          <cell r="S42">
            <v>2</v>
          </cell>
          <cell r="T42">
            <v>1</v>
          </cell>
          <cell r="U42">
            <v>3</v>
          </cell>
          <cell r="V42">
            <v>0</v>
          </cell>
          <cell r="W42">
            <v>2</v>
          </cell>
          <cell r="X42">
            <v>0</v>
          </cell>
          <cell r="Y42">
            <v>2</v>
          </cell>
          <cell r="Z42">
            <v>0</v>
          </cell>
          <cell r="AA42">
            <v>3</v>
          </cell>
          <cell r="AB42">
            <v>0</v>
          </cell>
          <cell r="AC42">
            <v>0</v>
          </cell>
          <cell r="AD42">
            <v>3</v>
          </cell>
          <cell r="AE42">
            <v>2</v>
          </cell>
          <cell r="AF42">
            <v>0</v>
          </cell>
          <cell r="AG42">
            <v>3</v>
          </cell>
          <cell r="AH42">
            <v>0</v>
          </cell>
          <cell r="AI42">
            <v>0</v>
          </cell>
          <cell r="AJ42">
            <v>1</v>
          </cell>
          <cell r="AK42">
            <v>2</v>
          </cell>
          <cell r="AL42">
            <v>0</v>
          </cell>
          <cell r="AM42">
            <v>3</v>
          </cell>
          <cell r="AN42">
            <v>0</v>
          </cell>
          <cell r="AO42">
            <v>0</v>
          </cell>
          <cell r="AP42">
            <v>3</v>
          </cell>
          <cell r="AQ42">
            <v>2</v>
          </cell>
          <cell r="AR42">
            <v>0</v>
          </cell>
          <cell r="AS42">
            <v>1</v>
          </cell>
          <cell r="AT42">
            <v>0</v>
          </cell>
          <cell r="AU42">
            <v>1</v>
          </cell>
          <cell r="AV42">
            <v>0</v>
          </cell>
          <cell r="AW42">
            <v>2</v>
          </cell>
          <cell r="AX42">
            <v>0</v>
          </cell>
          <cell r="AY42">
            <v>0</v>
          </cell>
          <cell r="AZ42">
            <v>2</v>
          </cell>
          <cell r="BA42">
            <v>0</v>
          </cell>
          <cell r="BB42">
            <v>1</v>
          </cell>
          <cell r="BC42">
            <v>2</v>
          </cell>
          <cell r="BD42">
            <v>0</v>
          </cell>
          <cell r="BE42">
            <v>2</v>
          </cell>
          <cell r="BF42">
            <v>0</v>
          </cell>
          <cell r="BG42">
            <v>0</v>
          </cell>
          <cell r="BH42">
            <v>2</v>
          </cell>
          <cell r="BI42">
            <v>4</v>
          </cell>
          <cell r="BJ42">
            <v>0</v>
          </cell>
          <cell r="BK42">
            <v>1</v>
          </cell>
          <cell r="BL42">
            <v>1</v>
          </cell>
          <cell r="BM42">
            <v>1</v>
          </cell>
          <cell r="BN42">
            <v>2</v>
          </cell>
          <cell r="BO42">
            <v>2</v>
          </cell>
          <cell r="BP42">
            <v>0</v>
          </cell>
          <cell r="BQ42">
            <v>0</v>
          </cell>
          <cell r="BR42">
            <v>3</v>
          </cell>
          <cell r="BS42">
            <v>2</v>
          </cell>
          <cell r="BT42">
            <v>0</v>
          </cell>
          <cell r="BU42">
            <v>0</v>
          </cell>
          <cell r="BV42">
            <v>2</v>
          </cell>
          <cell r="BW42">
            <v>0</v>
          </cell>
          <cell r="BX42">
            <v>2</v>
          </cell>
          <cell r="BY42">
            <v>0</v>
          </cell>
          <cell r="BZ42">
            <v>1</v>
          </cell>
          <cell r="CA42">
            <v>1</v>
          </cell>
          <cell r="CB42">
            <v>0</v>
          </cell>
          <cell r="CC42">
            <v>1</v>
          </cell>
          <cell r="CD42">
            <v>2</v>
          </cell>
          <cell r="CE42">
            <v>0</v>
          </cell>
          <cell r="CF42">
            <v>3</v>
          </cell>
          <cell r="CG42">
            <v>1</v>
          </cell>
          <cell r="CH42">
            <v>2</v>
          </cell>
          <cell r="CI42">
            <v>0</v>
          </cell>
          <cell r="CJ42">
            <v>3</v>
          </cell>
          <cell r="CK42">
            <v>3</v>
          </cell>
          <cell r="CL42">
            <v>1</v>
          </cell>
          <cell r="CM42">
            <v>1</v>
          </cell>
          <cell r="CN42">
            <v>2</v>
          </cell>
          <cell r="CO42">
            <v>1</v>
          </cell>
          <cell r="CP42">
            <v>3</v>
          </cell>
          <cell r="CQ42">
            <v>2</v>
          </cell>
          <cell r="CR42">
            <v>2</v>
          </cell>
          <cell r="CS42">
            <v>1</v>
          </cell>
          <cell r="CT42">
            <v>0</v>
          </cell>
          <cell r="CU42">
            <v>2</v>
          </cell>
          <cell r="CV42">
            <v>0</v>
          </cell>
          <cell r="CW42">
            <v>2</v>
          </cell>
          <cell r="CX42">
            <v>1</v>
          </cell>
          <cell r="CY42">
            <v>3</v>
          </cell>
          <cell r="CZ42">
            <v>1</v>
          </cell>
          <cell r="DA42">
            <v>1</v>
          </cell>
          <cell r="DB42">
            <v>0</v>
          </cell>
          <cell r="DC42">
            <v>2</v>
          </cell>
          <cell r="DD42">
            <v>1</v>
          </cell>
          <cell r="DE42">
            <v>1</v>
          </cell>
          <cell r="DF42">
            <v>0</v>
          </cell>
          <cell r="DG42">
            <v>3</v>
          </cell>
          <cell r="DH42">
            <v>1</v>
          </cell>
          <cell r="DI42">
            <v>2</v>
          </cell>
          <cell r="DJ42">
            <v>1</v>
          </cell>
          <cell r="DK42">
            <v>2</v>
          </cell>
          <cell r="DL42">
            <v>0</v>
          </cell>
          <cell r="DM42">
            <v>1</v>
          </cell>
          <cell r="DN42">
            <v>0</v>
          </cell>
          <cell r="DO42">
            <v>2</v>
          </cell>
          <cell r="DP42">
            <v>0</v>
          </cell>
          <cell r="DQ42">
            <v>2</v>
          </cell>
          <cell r="DR42">
            <v>1</v>
          </cell>
          <cell r="DS42">
            <v>0</v>
          </cell>
          <cell r="DT42">
            <v>2</v>
          </cell>
          <cell r="DU42">
            <v>1</v>
          </cell>
          <cell r="DV42">
            <v>2</v>
          </cell>
          <cell r="DW42">
            <v>0</v>
          </cell>
          <cell r="DX42">
            <v>2</v>
          </cell>
          <cell r="DY42">
            <v>1</v>
          </cell>
          <cell r="DZ42">
            <v>2</v>
          </cell>
        </row>
        <row r="43">
          <cell r="A43">
            <v>39</v>
          </cell>
          <cell r="B43" t="str">
            <v>Oscar Cuervo</v>
          </cell>
          <cell r="C43">
            <v>1</v>
          </cell>
          <cell r="D43">
            <v>0</v>
          </cell>
          <cell r="E43">
            <v>0</v>
          </cell>
          <cell r="F43">
            <v>2</v>
          </cell>
          <cell r="G43">
            <v>0</v>
          </cell>
          <cell r="H43">
            <v>1</v>
          </cell>
          <cell r="I43">
            <v>1</v>
          </cell>
          <cell r="J43">
            <v>2</v>
          </cell>
          <cell r="K43">
            <v>2</v>
          </cell>
          <cell r="L43">
            <v>0</v>
          </cell>
          <cell r="M43">
            <v>2</v>
          </cell>
          <cell r="N43">
            <v>1</v>
          </cell>
          <cell r="O43">
            <v>1</v>
          </cell>
          <cell r="P43">
            <v>2</v>
          </cell>
          <cell r="Q43">
            <v>1</v>
          </cell>
          <cell r="R43">
            <v>0</v>
          </cell>
          <cell r="S43">
            <v>1</v>
          </cell>
          <cell r="T43">
            <v>0</v>
          </cell>
          <cell r="U43">
            <v>2</v>
          </cell>
          <cell r="V43">
            <v>0</v>
          </cell>
          <cell r="W43">
            <v>2</v>
          </cell>
          <cell r="X43">
            <v>0</v>
          </cell>
          <cell r="Y43">
            <v>2</v>
          </cell>
          <cell r="Z43">
            <v>0</v>
          </cell>
          <cell r="AA43">
            <v>2</v>
          </cell>
          <cell r="AB43">
            <v>0</v>
          </cell>
          <cell r="AC43">
            <v>0</v>
          </cell>
          <cell r="AD43">
            <v>2</v>
          </cell>
          <cell r="AE43">
            <v>1</v>
          </cell>
          <cell r="AF43">
            <v>0</v>
          </cell>
          <cell r="AG43">
            <v>2</v>
          </cell>
          <cell r="AH43">
            <v>0</v>
          </cell>
          <cell r="AI43">
            <v>1</v>
          </cell>
          <cell r="AJ43">
            <v>1</v>
          </cell>
          <cell r="AK43">
            <v>3</v>
          </cell>
          <cell r="AL43">
            <v>0</v>
          </cell>
          <cell r="AM43">
            <v>2</v>
          </cell>
          <cell r="AN43">
            <v>0</v>
          </cell>
          <cell r="AO43">
            <v>0</v>
          </cell>
          <cell r="AP43">
            <v>2</v>
          </cell>
          <cell r="AQ43">
            <v>2</v>
          </cell>
          <cell r="AR43">
            <v>1</v>
          </cell>
          <cell r="AS43">
            <v>1</v>
          </cell>
          <cell r="AT43">
            <v>0</v>
          </cell>
          <cell r="AU43">
            <v>2</v>
          </cell>
          <cell r="AV43">
            <v>1</v>
          </cell>
          <cell r="AW43">
            <v>2</v>
          </cell>
          <cell r="AX43">
            <v>1</v>
          </cell>
          <cell r="AY43">
            <v>1</v>
          </cell>
          <cell r="AZ43">
            <v>2</v>
          </cell>
          <cell r="BA43">
            <v>1</v>
          </cell>
          <cell r="BB43">
            <v>2</v>
          </cell>
          <cell r="BC43">
            <v>2</v>
          </cell>
          <cell r="BD43">
            <v>0</v>
          </cell>
          <cell r="BE43">
            <v>2</v>
          </cell>
          <cell r="BF43">
            <v>0</v>
          </cell>
          <cell r="BG43">
            <v>0</v>
          </cell>
          <cell r="BH43">
            <v>2</v>
          </cell>
          <cell r="BI43">
            <v>2</v>
          </cell>
          <cell r="BJ43">
            <v>0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2</v>
          </cell>
          <cell r="BP43">
            <v>1</v>
          </cell>
          <cell r="BQ43">
            <v>0</v>
          </cell>
          <cell r="BR43">
            <v>1</v>
          </cell>
          <cell r="BS43">
            <v>3</v>
          </cell>
          <cell r="BT43">
            <v>0</v>
          </cell>
          <cell r="BU43">
            <v>0</v>
          </cell>
          <cell r="BV43">
            <v>2</v>
          </cell>
          <cell r="BW43">
            <v>0</v>
          </cell>
          <cell r="BX43">
            <v>2</v>
          </cell>
          <cell r="BY43">
            <v>0</v>
          </cell>
          <cell r="BZ43">
            <v>1</v>
          </cell>
          <cell r="CA43">
            <v>0</v>
          </cell>
          <cell r="CB43">
            <v>1</v>
          </cell>
          <cell r="CC43">
            <v>0</v>
          </cell>
          <cell r="CD43">
            <v>2</v>
          </cell>
          <cell r="CE43">
            <v>0</v>
          </cell>
          <cell r="CF43">
            <v>3</v>
          </cell>
          <cell r="CG43">
            <v>1</v>
          </cell>
          <cell r="CH43">
            <v>1</v>
          </cell>
          <cell r="CI43">
            <v>0</v>
          </cell>
          <cell r="CJ43">
            <v>2</v>
          </cell>
          <cell r="CK43">
            <v>0</v>
          </cell>
          <cell r="CL43">
            <v>0</v>
          </cell>
          <cell r="CM43">
            <v>0</v>
          </cell>
          <cell r="CN43">
            <v>2</v>
          </cell>
          <cell r="CO43">
            <v>1</v>
          </cell>
          <cell r="CP43">
            <v>2</v>
          </cell>
          <cell r="CQ43">
            <v>1</v>
          </cell>
          <cell r="CR43">
            <v>1</v>
          </cell>
          <cell r="CS43">
            <v>1</v>
          </cell>
          <cell r="CT43">
            <v>0</v>
          </cell>
          <cell r="CU43">
            <v>2</v>
          </cell>
          <cell r="CV43">
            <v>1</v>
          </cell>
          <cell r="CW43">
            <v>1</v>
          </cell>
          <cell r="CX43">
            <v>2</v>
          </cell>
          <cell r="CY43">
            <v>2</v>
          </cell>
          <cell r="CZ43">
            <v>1</v>
          </cell>
          <cell r="DA43">
            <v>2</v>
          </cell>
          <cell r="DB43">
            <v>1</v>
          </cell>
          <cell r="DC43">
            <v>1</v>
          </cell>
          <cell r="DD43">
            <v>0</v>
          </cell>
          <cell r="DE43">
            <v>0</v>
          </cell>
          <cell r="DF43">
            <v>1</v>
          </cell>
          <cell r="DG43">
            <v>2</v>
          </cell>
          <cell r="DH43">
            <v>0</v>
          </cell>
          <cell r="DI43">
            <v>1</v>
          </cell>
          <cell r="DJ43">
            <v>0</v>
          </cell>
          <cell r="DK43">
            <v>1</v>
          </cell>
          <cell r="DL43">
            <v>0</v>
          </cell>
          <cell r="DM43">
            <v>2</v>
          </cell>
          <cell r="DN43">
            <v>1</v>
          </cell>
          <cell r="DO43">
            <v>2</v>
          </cell>
          <cell r="DP43">
            <v>1</v>
          </cell>
          <cell r="DQ43">
            <v>2</v>
          </cell>
          <cell r="DR43">
            <v>1</v>
          </cell>
          <cell r="DS43">
            <v>2</v>
          </cell>
          <cell r="DT43">
            <v>1</v>
          </cell>
          <cell r="DU43">
            <v>2</v>
          </cell>
          <cell r="DV43">
            <v>1</v>
          </cell>
          <cell r="DW43">
            <v>1</v>
          </cell>
          <cell r="DX43">
            <v>2</v>
          </cell>
          <cell r="DY43">
            <v>1</v>
          </cell>
          <cell r="DZ43">
            <v>2</v>
          </cell>
        </row>
        <row r="44">
          <cell r="A44">
            <v>40</v>
          </cell>
          <cell r="B44" t="str">
            <v>Asmed Garcia</v>
          </cell>
          <cell r="C44">
            <v>3</v>
          </cell>
          <cell r="D44">
            <v>0</v>
          </cell>
          <cell r="E44">
            <v>1</v>
          </cell>
          <cell r="F44">
            <v>2</v>
          </cell>
          <cell r="G44">
            <v>2</v>
          </cell>
          <cell r="H44">
            <v>1</v>
          </cell>
          <cell r="I44">
            <v>2</v>
          </cell>
          <cell r="J44">
            <v>2</v>
          </cell>
          <cell r="K44">
            <v>2</v>
          </cell>
          <cell r="L44">
            <v>1</v>
          </cell>
          <cell r="M44">
            <v>2</v>
          </cell>
          <cell r="N44">
            <v>0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2</v>
          </cell>
          <cell r="U44">
            <v>2</v>
          </cell>
          <cell r="V44">
            <v>0</v>
          </cell>
          <cell r="W44">
            <v>2</v>
          </cell>
          <cell r="X44">
            <v>1</v>
          </cell>
          <cell r="Y44">
            <v>2</v>
          </cell>
          <cell r="Z44">
            <v>1</v>
          </cell>
          <cell r="AA44">
            <v>2</v>
          </cell>
          <cell r="AB44">
            <v>1</v>
          </cell>
          <cell r="AC44">
            <v>1</v>
          </cell>
          <cell r="AD44">
            <v>2</v>
          </cell>
          <cell r="AE44">
            <v>2</v>
          </cell>
          <cell r="AF44">
            <v>1</v>
          </cell>
          <cell r="AG44">
            <v>3</v>
          </cell>
          <cell r="AH44">
            <v>1</v>
          </cell>
          <cell r="AI44">
            <v>2</v>
          </cell>
          <cell r="AJ44">
            <v>1</v>
          </cell>
          <cell r="AK44">
            <v>2</v>
          </cell>
          <cell r="AL44">
            <v>0</v>
          </cell>
          <cell r="AM44">
            <v>4</v>
          </cell>
          <cell r="AN44">
            <v>0</v>
          </cell>
          <cell r="AO44">
            <v>0</v>
          </cell>
          <cell r="AP44">
            <v>3</v>
          </cell>
          <cell r="AQ44">
            <v>2</v>
          </cell>
          <cell r="AR44">
            <v>1</v>
          </cell>
          <cell r="AS44">
            <v>2</v>
          </cell>
          <cell r="AT44">
            <v>1</v>
          </cell>
          <cell r="AU44">
            <v>2</v>
          </cell>
          <cell r="AV44">
            <v>1</v>
          </cell>
          <cell r="AW44">
            <v>2</v>
          </cell>
          <cell r="AX44">
            <v>0</v>
          </cell>
          <cell r="AY44">
            <v>2</v>
          </cell>
          <cell r="AZ44">
            <v>1</v>
          </cell>
          <cell r="BA44">
            <v>1</v>
          </cell>
          <cell r="BB44">
            <v>2</v>
          </cell>
          <cell r="BC44">
            <v>1</v>
          </cell>
          <cell r="BD44">
            <v>0</v>
          </cell>
          <cell r="BE44">
            <v>2</v>
          </cell>
          <cell r="BF44">
            <v>1</v>
          </cell>
          <cell r="BG44">
            <v>1</v>
          </cell>
          <cell r="BH44">
            <v>2</v>
          </cell>
          <cell r="BI44">
            <v>3</v>
          </cell>
          <cell r="BJ44">
            <v>0</v>
          </cell>
          <cell r="BK44">
            <v>1</v>
          </cell>
          <cell r="BL44">
            <v>2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2</v>
          </cell>
          <cell r="BS44">
            <v>3</v>
          </cell>
          <cell r="BT44">
            <v>1</v>
          </cell>
          <cell r="BU44">
            <v>0</v>
          </cell>
          <cell r="BV44">
            <v>3</v>
          </cell>
          <cell r="BW44">
            <v>1</v>
          </cell>
          <cell r="BX44">
            <v>2</v>
          </cell>
          <cell r="BY44">
            <v>1</v>
          </cell>
          <cell r="BZ44">
            <v>2</v>
          </cell>
          <cell r="CA44">
            <v>0</v>
          </cell>
          <cell r="CB44">
            <v>2</v>
          </cell>
          <cell r="CC44">
            <v>1</v>
          </cell>
          <cell r="CD44">
            <v>2</v>
          </cell>
          <cell r="CE44">
            <v>0</v>
          </cell>
          <cell r="CF44">
            <v>3</v>
          </cell>
          <cell r="CG44">
            <v>2</v>
          </cell>
          <cell r="CH44">
            <v>1</v>
          </cell>
          <cell r="CI44">
            <v>0</v>
          </cell>
          <cell r="CJ44">
            <v>3</v>
          </cell>
          <cell r="CK44">
            <v>2</v>
          </cell>
          <cell r="CL44">
            <v>1</v>
          </cell>
          <cell r="CM44">
            <v>0</v>
          </cell>
          <cell r="CN44">
            <v>2</v>
          </cell>
          <cell r="CO44">
            <v>1</v>
          </cell>
          <cell r="CP44">
            <v>2</v>
          </cell>
          <cell r="CQ44">
            <v>2</v>
          </cell>
          <cell r="CR44">
            <v>0</v>
          </cell>
          <cell r="CS44">
            <v>1</v>
          </cell>
          <cell r="CT44">
            <v>2</v>
          </cell>
          <cell r="CU44">
            <v>1</v>
          </cell>
          <cell r="CV44">
            <v>1</v>
          </cell>
          <cell r="CW44">
            <v>2</v>
          </cell>
          <cell r="CX44">
            <v>2</v>
          </cell>
          <cell r="CY44">
            <v>1</v>
          </cell>
          <cell r="CZ44">
            <v>1</v>
          </cell>
          <cell r="DA44">
            <v>2</v>
          </cell>
          <cell r="DB44">
            <v>1</v>
          </cell>
          <cell r="DC44">
            <v>3</v>
          </cell>
          <cell r="DD44">
            <v>1</v>
          </cell>
          <cell r="DE44">
            <v>2</v>
          </cell>
          <cell r="DF44">
            <v>1</v>
          </cell>
          <cell r="DG44">
            <v>3</v>
          </cell>
          <cell r="DH44">
            <v>1</v>
          </cell>
          <cell r="DI44">
            <v>2</v>
          </cell>
          <cell r="DJ44">
            <v>1</v>
          </cell>
          <cell r="DK44">
            <v>1</v>
          </cell>
          <cell r="DL44">
            <v>1</v>
          </cell>
          <cell r="DM44">
            <v>2</v>
          </cell>
          <cell r="DN44">
            <v>1</v>
          </cell>
          <cell r="DO44">
            <v>2</v>
          </cell>
          <cell r="DP44">
            <v>1</v>
          </cell>
          <cell r="DQ44">
            <v>2</v>
          </cell>
          <cell r="DR44">
            <v>1</v>
          </cell>
          <cell r="DS44">
            <v>1</v>
          </cell>
          <cell r="DT44">
            <v>2</v>
          </cell>
          <cell r="DU44">
            <v>1</v>
          </cell>
          <cell r="DV44">
            <v>1</v>
          </cell>
          <cell r="DW44">
            <v>0</v>
          </cell>
          <cell r="DX44">
            <v>2</v>
          </cell>
          <cell r="DY44">
            <v>2</v>
          </cell>
          <cell r="DZ44">
            <v>2</v>
          </cell>
        </row>
        <row r="45">
          <cell r="A45">
            <v>41</v>
          </cell>
          <cell r="B45" t="str">
            <v>Juan Fernando Fonseca</v>
          </cell>
          <cell r="C45">
            <v>2</v>
          </cell>
          <cell r="D45">
            <v>1</v>
          </cell>
          <cell r="E45">
            <v>0</v>
          </cell>
          <cell r="F45">
            <v>1</v>
          </cell>
          <cell r="G45">
            <v>1</v>
          </cell>
          <cell r="H45">
            <v>0</v>
          </cell>
          <cell r="I45">
            <v>2</v>
          </cell>
          <cell r="J45">
            <v>2</v>
          </cell>
          <cell r="K45">
            <v>2</v>
          </cell>
          <cell r="L45">
            <v>0</v>
          </cell>
          <cell r="M45">
            <v>3</v>
          </cell>
          <cell r="N45">
            <v>0</v>
          </cell>
          <cell r="O45">
            <v>1</v>
          </cell>
          <cell r="P45">
            <v>2</v>
          </cell>
          <cell r="Q45">
            <v>1</v>
          </cell>
          <cell r="R45">
            <v>0</v>
          </cell>
          <cell r="S45">
            <v>2</v>
          </cell>
          <cell r="T45">
            <v>0</v>
          </cell>
          <cell r="U45">
            <v>2</v>
          </cell>
          <cell r="V45">
            <v>1</v>
          </cell>
          <cell r="W45">
            <v>3</v>
          </cell>
          <cell r="X45">
            <v>1</v>
          </cell>
          <cell r="Y45">
            <v>2</v>
          </cell>
          <cell r="Z45">
            <v>2</v>
          </cell>
          <cell r="AA45">
            <v>4</v>
          </cell>
          <cell r="AB45">
            <v>0</v>
          </cell>
          <cell r="AC45">
            <v>1</v>
          </cell>
          <cell r="AD45">
            <v>2</v>
          </cell>
          <cell r="AE45">
            <v>1</v>
          </cell>
          <cell r="AF45">
            <v>2</v>
          </cell>
          <cell r="AG45">
            <v>1</v>
          </cell>
          <cell r="AH45">
            <v>0</v>
          </cell>
          <cell r="AI45">
            <v>2</v>
          </cell>
          <cell r="AJ45">
            <v>0</v>
          </cell>
          <cell r="AK45">
            <v>2</v>
          </cell>
          <cell r="AL45">
            <v>0</v>
          </cell>
          <cell r="AM45">
            <v>2</v>
          </cell>
          <cell r="AN45">
            <v>1</v>
          </cell>
          <cell r="AO45">
            <v>0</v>
          </cell>
          <cell r="AP45">
            <v>3</v>
          </cell>
          <cell r="AQ45">
            <v>2</v>
          </cell>
          <cell r="AR45">
            <v>0</v>
          </cell>
          <cell r="AS45">
            <v>2</v>
          </cell>
          <cell r="AT45">
            <v>0</v>
          </cell>
          <cell r="AU45">
            <v>2</v>
          </cell>
          <cell r="AV45">
            <v>1</v>
          </cell>
          <cell r="AW45">
            <v>2</v>
          </cell>
          <cell r="AX45">
            <v>0</v>
          </cell>
          <cell r="AY45">
            <v>1</v>
          </cell>
          <cell r="AZ45">
            <v>0</v>
          </cell>
          <cell r="BA45">
            <v>0</v>
          </cell>
          <cell r="BB45">
            <v>2</v>
          </cell>
          <cell r="BC45">
            <v>2</v>
          </cell>
          <cell r="BD45">
            <v>2</v>
          </cell>
          <cell r="BE45">
            <v>2</v>
          </cell>
          <cell r="BF45">
            <v>2</v>
          </cell>
          <cell r="BG45">
            <v>1</v>
          </cell>
          <cell r="BH45">
            <v>2</v>
          </cell>
          <cell r="BI45">
            <v>3</v>
          </cell>
          <cell r="BJ45">
            <v>0</v>
          </cell>
          <cell r="BK45">
            <v>1</v>
          </cell>
          <cell r="BL45">
            <v>0</v>
          </cell>
          <cell r="BM45">
            <v>1</v>
          </cell>
          <cell r="BN45">
            <v>2</v>
          </cell>
          <cell r="BO45">
            <v>2</v>
          </cell>
          <cell r="BP45">
            <v>1</v>
          </cell>
          <cell r="BQ45">
            <v>1</v>
          </cell>
          <cell r="BR45">
            <v>1</v>
          </cell>
          <cell r="BS45">
            <v>3</v>
          </cell>
          <cell r="BT45">
            <v>1</v>
          </cell>
          <cell r="BU45">
            <v>0</v>
          </cell>
          <cell r="BV45">
            <v>2</v>
          </cell>
          <cell r="BW45">
            <v>1</v>
          </cell>
          <cell r="BX45">
            <v>2</v>
          </cell>
          <cell r="BY45">
            <v>1</v>
          </cell>
          <cell r="BZ45">
            <v>2</v>
          </cell>
          <cell r="CA45">
            <v>1</v>
          </cell>
          <cell r="CB45">
            <v>2</v>
          </cell>
          <cell r="CC45">
            <v>1</v>
          </cell>
          <cell r="CD45">
            <v>3</v>
          </cell>
          <cell r="CE45">
            <v>0</v>
          </cell>
          <cell r="CF45">
            <v>2</v>
          </cell>
          <cell r="CG45">
            <v>1</v>
          </cell>
          <cell r="CH45">
            <v>2</v>
          </cell>
          <cell r="CI45">
            <v>0</v>
          </cell>
          <cell r="CJ45">
            <v>3</v>
          </cell>
          <cell r="CK45">
            <v>1</v>
          </cell>
          <cell r="CL45">
            <v>1</v>
          </cell>
          <cell r="CM45">
            <v>2</v>
          </cell>
          <cell r="CN45">
            <v>1</v>
          </cell>
          <cell r="CO45">
            <v>0</v>
          </cell>
          <cell r="CP45">
            <v>2</v>
          </cell>
          <cell r="CQ45">
            <v>2</v>
          </cell>
          <cell r="CR45">
            <v>1</v>
          </cell>
          <cell r="CS45">
            <v>1</v>
          </cell>
          <cell r="CT45">
            <v>2</v>
          </cell>
          <cell r="CU45">
            <v>1</v>
          </cell>
          <cell r="CV45">
            <v>1</v>
          </cell>
          <cell r="CW45">
            <v>0</v>
          </cell>
          <cell r="CX45">
            <v>2</v>
          </cell>
          <cell r="CY45">
            <v>1</v>
          </cell>
          <cell r="CZ45">
            <v>1</v>
          </cell>
          <cell r="DA45">
            <v>2</v>
          </cell>
          <cell r="DB45">
            <v>0</v>
          </cell>
          <cell r="DC45">
            <v>3</v>
          </cell>
          <cell r="DD45">
            <v>0</v>
          </cell>
          <cell r="DE45">
            <v>2</v>
          </cell>
          <cell r="DF45">
            <v>1</v>
          </cell>
          <cell r="DG45">
            <v>2</v>
          </cell>
          <cell r="DH45">
            <v>0</v>
          </cell>
          <cell r="DI45">
            <v>1</v>
          </cell>
          <cell r="DJ45">
            <v>1</v>
          </cell>
          <cell r="DK45">
            <v>1</v>
          </cell>
          <cell r="DL45">
            <v>2</v>
          </cell>
          <cell r="DM45">
            <v>2</v>
          </cell>
          <cell r="DN45">
            <v>0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2</v>
          </cell>
          <cell r="DT45">
            <v>2</v>
          </cell>
          <cell r="DU45">
            <v>0</v>
          </cell>
          <cell r="DV45">
            <v>2</v>
          </cell>
          <cell r="DW45">
            <v>2</v>
          </cell>
          <cell r="DX45">
            <v>1</v>
          </cell>
          <cell r="DY45">
            <v>1</v>
          </cell>
          <cell r="DZ45">
            <v>2</v>
          </cell>
        </row>
        <row r="46">
          <cell r="A46">
            <v>42</v>
          </cell>
          <cell r="B46" t="str">
            <v>Sandra Díez</v>
          </cell>
          <cell r="C46">
            <v>2</v>
          </cell>
          <cell r="D46">
            <v>0</v>
          </cell>
          <cell r="E46">
            <v>0</v>
          </cell>
          <cell r="F46">
            <v>2</v>
          </cell>
          <cell r="G46">
            <v>1</v>
          </cell>
          <cell r="H46">
            <v>1</v>
          </cell>
          <cell r="I46">
            <v>1</v>
          </cell>
          <cell r="J46">
            <v>2</v>
          </cell>
          <cell r="K46">
            <v>2</v>
          </cell>
          <cell r="L46">
            <v>0</v>
          </cell>
          <cell r="M46">
            <v>3</v>
          </cell>
          <cell r="N46">
            <v>0</v>
          </cell>
          <cell r="O46">
            <v>1</v>
          </cell>
          <cell r="P46">
            <v>1</v>
          </cell>
          <cell r="Q46">
            <v>2</v>
          </cell>
          <cell r="R46">
            <v>0</v>
          </cell>
          <cell r="S46">
            <v>2</v>
          </cell>
          <cell r="T46">
            <v>0</v>
          </cell>
          <cell r="U46">
            <v>4</v>
          </cell>
          <cell r="V46">
            <v>1</v>
          </cell>
          <cell r="W46">
            <v>3</v>
          </cell>
          <cell r="X46">
            <v>1</v>
          </cell>
          <cell r="Y46">
            <v>3</v>
          </cell>
          <cell r="Z46">
            <v>1</v>
          </cell>
          <cell r="AA46">
            <v>2</v>
          </cell>
          <cell r="AB46">
            <v>0</v>
          </cell>
          <cell r="AC46">
            <v>0</v>
          </cell>
          <cell r="AD46">
            <v>3</v>
          </cell>
          <cell r="AE46">
            <v>1</v>
          </cell>
          <cell r="AF46">
            <v>0</v>
          </cell>
          <cell r="AG46">
            <v>2</v>
          </cell>
          <cell r="AH46">
            <v>0</v>
          </cell>
          <cell r="AI46">
            <v>1</v>
          </cell>
          <cell r="AJ46">
            <v>0</v>
          </cell>
          <cell r="AK46">
            <v>2</v>
          </cell>
          <cell r="AL46">
            <v>0</v>
          </cell>
          <cell r="AM46">
            <v>3</v>
          </cell>
          <cell r="AN46">
            <v>0</v>
          </cell>
          <cell r="AO46">
            <v>0</v>
          </cell>
          <cell r="AP46">
            <v>3</v>
          </cell>
          <cell r="AQ46">
            <v>3</v>
          </cell>
          <cell r="AR46">
            <v>1</v>
          </cell>
          <cell r="AS46">
            <v>1</v>
          </cell>
          <cell r="AT46">
            <v>1</v>
          </cell>
          <cell r="AU46">
            <v>2</v>
          </cell>
          <cell r="AV46">
            <v>1</v>
          </cell>
          <cell r="AW46">
            <v>3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2</v>
          </cell>
          <cell r="BD46">
            <v>0</v>
          </cell>
          <cell r="BE46">
            <v>2</v>
          </cell>
          <cell r="BF46">
            <v>0</v>
          </cell>
          <cell r="BG46">
            <v>1</v>
          </cell>
          <cell r="BH46">
            <v>1</v>
          </cell>
          <cell r="BI46">
            <v>3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2</v>
          </cell>
          <cell r="BO46">
            <v>3</v>
          </cell>
          <cell r="BP46">
            <v>1</v>
          </cell>
          <cell r="BQ46">
            <v>0</v>
          </cell>
          <cell r="BR46">
            <v>0</v>
          </cell>
          <cell r="BS46">
            <v>4</v>
          </cell>
          <cell r="BT46">
            <v>0</v>
          </cell>
          <cell r="BU46">
            <v>0</v>
          </cell>
          <cell r="BV46">
            <v>1</v>
          </cell>
          <cell r="BW46">
            <v>1</v>
          </cell>
          <cell r="BX46">
            <v>3</v>
          </cell>
          <cell r="BY46">
            <v>0</v>
          </cell>
          <cell r="BZ46">
            <v>1</v>
          </cell>
          <cell r="CA46">
            <v>1</v>
          </cell>
          <cell r="CB46">
            <v>1</v>
          </cell>
          <cell r="CC46">
            <v>0</v>
          </cell>
          <cell r="CD46">
            <v>2</v>
          </cell>
          <cell r="CE46">
            <v>0</v>
          </cell>
          <cell r="CF46">
            <v>4</v>
          </cell>
          <cell r="CG46">
            <v>0</v>
          </cell>
          <cell r="CH46">
            <v>1</v>
          </cell>
          <cell r="CI46">
            <v>0</v>
          </cell>
          <cell r="CJ46">
            <v>4</v>
          </cell>
          <cell r="CK46">
            <v>0</v>
          </cell>
          <cell r="CL46">
            <v>2</v>
          </cell>
          <cell r="CM46">
            <v>1</v>
          </cell>
          <cell r="CN46">
            <v>3</v>
          </cell>
          <cell r="CO46">
            <v>1</v>
          </cell>
          <cell r="CP46">
            <v>3</v>
          </cell>
          <cell r="CQ46">
            <v>2</v>
          </cell>
          <cell r="CR46">
            <v>2</v>
          </cell>
          <cell r="CS46">
            <v>1</v>
          </cell>
          <cell r="CT46">
            <v>1</v>
          </cell>
          <cell r="CU46">
            <v>3</v>
          </cell>
          <cell r="CV46">
            <v>1</v>
          </cell>
          <cell r="CW46">
            <v>2</v>
          </cell>
          <cell r="CX46">
            <v>3</v>
          </cell>
          <cell r="CY46">
            <v>4</v>
          </cell>
          <cell r="CZ46">
            <v>0</v>
          </cell>
          <cell r="DA46">
            <v>2</v>
          </cell>
          <cell r="DB46">
            <v>1</v>
          </cell>
          <cell r="DC46">
            <v>3</v>
          </cell>
          <cell r="DD46">
            <v>0</v>
          </cell>
          <cell r="DE46">
            <v>3</v>
          </cell>
          <cell r="DF46">
            <v>2</v>
          </cell>
          <cell r="DG46">
            <v>3</v>
          </cell>
          <cell r="DH46">
            <v>1</v>
          </cell>
          <cell r="DI46">
            <v>3</v>
          </cell>
          <cell r="DJ46">
            <v>1</v>
          </cell>
          <cell r="DK46">
            <v>1</v>
          </cell>
          <cell r="DL46">
            <v>2</v>
          </cell>
          <cell r="DM46">
            <v>3</v>
          </cell>
          <cell r="DN46">
            <v>2</v>
          </cell>
          <cell r="DO46">
            <v>4</v>
          </cell>
          <cell r="DP46">
            <v>1</v>
          </cell>
          <cell r="DQ46">
            <v>2</v>
          </cell>
          <cell r="DR46">
            <v>1</v>
          </cell>
          <cell r="DS46">
            <v>1</v>
          </cell>
          <cell r="DT46">
            <v>3</v>
          </cell>
          <cell r="DU46">
            <v>3</v>
          </cell>
          <cell r="DV46">
            <v>1</v>
          </cell>
          <cell r="DW46">
            <v>3</v>
          </cell>
          <cell r="DX46">
            <v>2</v>
          </cell>
          <cell r="DY46">
            <v>3</v>
          </cell>
          <cell r="DZ46">
            <v>2</v>
          </cell>
        </row>
        <row r="47">
          <cell r="A47">
            <v>43</v>
          </cell>
          <cell r="B47" t="str">
            <v>Ale Fonseca D</v>
          </cell>
          <cell r="C47">
            <v>0</v>
          </cell>
          <cell r="D47">
            <v>0</v>
          </cell>
          <cell r="E47">
            <v>0</v>
          </cell>
          <cell r="F47">
            <v>2</v>
          </cell>
          <cell r="G47">
            <v>1</v>
          </cell>
          <cell r="H47">
            <v>0</v>
          </cell>
          <cell r="I47">
            <v>3</v>
          </cell>
          <cell r="J47">
            <v>2</v>
          </cell>
          <cell r="K47">
            <v>2</v>
          </cell>
          <cell r="L47">
            <v>0</v>
          </cell>
          <cell r="M47">
            <v>3</v>
          </cell>
          <cell r="N47">
            <v>0</v>
          </cell>
          <cell r="O47">
            <v>1</v>
          </cell>
          <cell r="P47">
            <v>0</v>
          </cell>
          <cell r="Q47">
            <v>1</v>
          </cell>
          <cell r="R47">
            <v>0</v>
          </cell>
          <cell r="S47">
            <v>2</v>
          </cell>
          <cell r="T47">
            <v>0</v>
          </cell>
          <cell r="U47">
            <v>3</v>
          </cell>
          <cell r="V47">
            <v>1</v>
          </cell>
          <cell r="W47">
            <v>3</v>
          </cell>
          <cell r="X47">
            <v>2</v>
          </cell>
          <cell r="Y47">
            <v>1</v>
          </cell>
          <cell r="Z47">
            <v>1</v>
          </cell>
          <cell r="AA47">
            <v>2</v>
          </cell>
          <cell r="AB47">
            <v>0</v>
          </cell>
          <cell r="AC47">
            <v>0</v>
          </cell>
          <cell r="AD47">
            <v>3</v>
          </cell>
          <cell r="AE47">
            <v>1</v>
          </cell>
          <cell r="AF47">
            <v>0</v>
          </cell>
          <cell r="AG47">
            <v>2</v>
          </cell>
          <cell r="AH47">
            <v>0</v>
          </cell>
          <cell r="AI47">
            <v>1</v>
          </cell>
          <cell r="AJ47">
            <v>0</v>
          </cell>
          <cell r="AK47">
            <v>3</v>
          </cell>
          <cell r="AL47">
            <v>0</v>
          </cell>
          <cell r="AM47">
            <v>2</v>
          </cell>
          <cell r="AN47">
            <v>0</v>
          </cell>
          <cell r="AO47">
            <v>0</v>
          </cell>
          <cell r="AP47">
            <v>2</v>
          </cell>
          <cell r="AQ47">
            <v>2</v>
          </cell>
          <cell r="AR47">
            <v>0</v>
          </cell>
          <cell r="AS47">
            <v>1</v>
          </cell>
          <cell r="AT47">
            <v>1</v>
          </cell>
          <cell r="AU47">
            <v>3</v>
          </cell>
          <cell r="AV47">
            <v>0</v>
          </cell>
          <cell r="AW47">
            <v>3</v>
          </cell>
          <cell r="AX47">
            <v>2</v>
          </cell>
          <cell r="AY47">
            <v>1</v>
          </cell>
          <cell r="AZ47">
            <v>3</v>
          </cell>
          <cell r="BA47">
            <v>0</v>
          </cell>
          <cell r="BB47">
            <v>1</v>
          </cell>
          <cell r="BC47">
            <v>1</v>
          </cell>
          <cell r="BD47">
            <v>0</v>
          </cell>
          <cell r="BE47">
            <v>3</v>
          </cell>
          <cell r="BF47">
            <v>0</v>
          </cell>
          <cell r="BG47">
            <v>0</v>
          </cell>
          <cell r="BH47">
            <v>2</v>
          </cell>
          <cell r="BI47">
            <v>2</v>
          </cell>
          <cell r="BJ47">
            <v>0</v>
          </cell>
          <cell r="BK47">
            <v>1</v>
          </cell>
          <cell r="BL47">
            <v>1</v>
          </cell>
          <cell r="BM47">
            <v>1</v>
          </cell>
          <cell r="BN47">
            <v>2</v>
          </cell>
          <cell r="BO47">
            <v>2</v>
          </cell>
          <cell r="BP47">
            <v>0</v>
          </cell>
          <cell r="BQ47">
            <v>1</v>
          </cell>
          <cell r="BR47">
            <v>1</v>
          </cell>
          <cell r="BS47">
            <v>2</v>
          </cell>
          <cell r="BT47">
            <v>0</v>
          </cell>
          <cell r="BU47">
            <v>0</v>
          </cell>
          <cell r="BV47">
            <v>3</v>
          </cell>
          <cell r="BW47">
            <v>1</v>
          </cell>
          <cell r="BX47">
            <v>0</v>
          </cell>
          <cell r="BY47">
            <v>1</v>
          </cell>
          <cell r="BZ47">
            <v>0</v>
          </cell>
          <cell r="CA47">
            <v>2</v>
          </cell>
          <cell r="CB47">
            <v>0</v>
          </cell>
          <cell r="CC47">
            <v>0</v>
          </cell>
          <cell r="CD47">
            <v>3</v>
          </cell>
          <cell r="CE47">
            <v>0</v>
          </cell>
          <cell r="CF47">
            <v>2</v>
          </cell>
          <cell r="CG47">
            <v>1</v>
          </cell>
          <cell r="CH47">
            <v>0</v>
          </cell>
          <cell r="CI47">
            <v>0</v>
          </cell>
          <cell r="CJ47">
            <v>3</v>
          </cell>
          <cell r="CK47">
            <v>1</v>
          </cell>
          <cell r="CL47">
            <v>3</v>
          </cell>
          <cell r="CM47">
            <v>0</v>
          </cell>
          <cell r="CN47">
            <v>1</v>
          </cell>
          <cell r="CO47">
            <v>0</v>
          </cell>
          <cell r="CP47">
            <v>1</v>
          </cell>
          <cell r="CQ47">
            <v>2</v>
          </cell>
          <cell r="CR47">
            <v>0</v>
          </cell>
          <cell r="CS47">
            <v>0</v>
          </cell>
          <cell r="CT47">
            <v>1</v>
          </cell>
          <cell r="CU47">
            <v>3</v>
          </cell>
          <cell r="CV47">
            <v>1</v>
          </cell>
          <cell r="CW47">
            <v>1</v>
          </cell>
          <cell r="CX47">
            <v>2</v>
          </cell>
          <cell r="CY47">
            <v>3</v>
          </cell>
          <cell r="CZ47">
            <v>0</v>
          </cell>
          <cell r="DA47">
            <v>3</v>
          </cell>
          <cell r="DB47">
            <v>0</v>
          </cell>
          <cell r="DC47">
            <v>3</v>
          </cell>
          <cell r="DD47">
            <v>0</v>
          </cell>
          <cell r="DE47">
            <v>3</v>
          </cell>
          <cell r="DF47">
            <v>1</v>
          </cell>
          <cell r="DG47">
            <v>2</v>
          </cell>
          <cell r="DH47">
            <v>1</v>
          </cell>
          <cell r="DI47">
            <v>2</v>
          </cell>
          <cell r="DJ47">
            <v>2</v>
          </cell>
          <cell r="DK47">
            <v>1</v>
          </cell>
          <cell r="DL47">
            <v>2</v>
          </cell>
          <cell r="DM47">
            <v>3</v>
          </cell>
          <cell r="DN47">
            <v>3</v>
          </cell>
          <cell r="DO47">
            <v>3</v>
          </cell>
          <cell r="DP47">
            <v>1</v>
          </cell>
          <cell r="DQ47">
            <v>2</v>
          </cell>
          <cell r="DR47">
            <v>3</v>
          </cell>
          <cell r="DS47">
            <v>3</v>
          </cell>
          <cell r="DT47">
            <v>2</v>
          </cell>
          <cell r="DU47">
            <v>3</v>
          </cell>
          <cell r="DV47">
            <v>2</v>
          </cell>
          <cell r="DW47">
            <v>3</v>
          </cell>
          <cell r="DX47">
            <v>2</v>
          </cell>
          <cell r="DY47">
            <v>2</v>
          </cell>
          <cell r="DZ47">
            <v>1</v>
          </cell>
        </row>
        <row r="48">
          <cell r="A48">
            <v>44</v>
          </cell>
          <cell r="B48" t="str">
            <v>Luis Eduardo Fonseca</v>
          </cell>
          <cell r="C48">
            <v>2</v>
          </cell>
          <cell r="D48">
            <v>1</v>
          </cell>
          <cell r="E48">
            <v>1</v>
          </cell>
          <cell r="F48">
            <v>2</v>
          </cell>
          <cell r="G48">
            <v>1</v>
          </cell>
          <cell r="H48">
            <v>1</v>
          </cell>
          <cell r="I48">
            <v>1</v>
          </cell>
          <cell r="J48">
            <v>2</v>
          </cell>
          <cell r="K48">
            <v>4</v>
          </cell>
          <cell r="L48">
            <v>0</v>
          </cell>
          <cell r="M48">
            <v>2</v>
          </cell>
          <cell r="N48">
            <v>1</v>
          </cell>
          <cell r="O48">
            <v>1</v>
          </cell>
          <cell r="P48">
            <v>1</v>
          </cell>
          <cell r="Q48">
            <v>2</v>
          </cell>
          <cell r="R48">
            <v>0</v>
          </cell>
          <cell r="S48">
            <v>1</v>
          </cell>
          <cell r="T48">
            <v>0</v>
          </cell>
          <cell r="U48">
            <v>4</v>
          </cell>
          <cell r="V48">
            <v>0</v>
          </cell>
          <cell r="W48">
            <v>3</v>
          </cell>
          <cell r="X48">
            <v>0</v>
          </cell>
          <cell r="Y48">
            <v>3</v>
          </cell>
          <cell r="Z48">
            <v>1</v>
          </cell>
          <cell r="AA48">
            <v>4</v>
          </cell>
          <cell r="AB48">
            <v>1</v>
          </cell>
          <cell r="AC48">
            <v>0</v>
          </cell>
          <cell r="AD48">
            <v>1</v>
          </cell>
          <cell r="AE48">
            <v>2</v>
          </cell>
          <cell r="AF48">
            <v>1</v>
          </cell>
          <cell r="AG48">
            <v>3</v>
          </cell>
          <cell r="AH48">
            <v>0</v>
          </cell>
          <cell r="AI48">
            <v>2</v>
          </cell>
          <cell r="AJ48">
            <v>3</v>
          </cell>
          <cell r="AK48">
            <v>3</v>
          </cell>
          <cell r="AL48">
            <v>1</v>
          </cell>
          <cell r="AM48">
            <v>2</v>
          </cell>
          <cell r="AN48">
            <v>0</v>
          </cell>
          <cell r="AO48">
            <v>0</v>
          </cell>
          <cell r="AP48">
            <v>3</v>
          </cell>
          <cell r="AQ48">
            <v>2</v>
          </cell>
          <cell r="AR48">
            <v>0</v>
          </cell>
          <cell r="AS48">
            <v>2</v>
          </cell>
          <cell r="AT48">
            <v>0</v>
          </cell>
          <cell r="AU48">
            <v>3</v>
          </cell>
          <cell r="AV48">
            <v>1</v>
          </cell>
          <cell r="AW48">
            <v>3</v>
          </cell>
          <cell r="AX48">
            <v>1</v>
          </cell>
          <cell r="AY48">
            <v>1</v>
          </cell>
          <cell r="AZ48">
            <v>2</v>
          </cell>
          <cell r="BA48">
            <v>1</v>
          </cell>
          <cell r="BB48">
            <v>2</v>
          </cell>
          <cell r="BC48">
            <v>1</v>
          </cell>
          <cell r="BD48">
            <v>0</v>
          </cell>
          <cell r="BE48">
            <v>3</v>
          </cell>
          <cell r="BF48">
            <v>1</v>
          </cell>
          <cell r="BG48">
            <v>1</v>
          </cell>
          <cell r="BH48">
            <v>2</v>
          </cell>
          <cell r="BI48">
            <v>3</v>
          </cell>
          <cell r="BJ48">
            <v>0</v>
          </cell>
          <cell r="BK48">
            <v>0</v>
          </cell>
          <cell r="BL48">
            <v>2</v>
          </cell>
          <cell r="BM48">
            <v>2</v>
          </cell>
          <cell r="BN48">
            <v>2</v>
          </cell>
          <cell r="BO48">
            <v>2</v>
          </cell>
          <cell r="BP48">
            <v>1</v>
          </cell>
          <cell r="BQ48">
            <v>1</v>
          </cell>
          <cell r="BR48">
            <v>2</v>
          </cell>
          <cell r="BS48">
            <v>2</v>
          </cell>
          <cell r="BT48">
            <v>1</v>
          </cell>
          <cell r="BU48">
            <v>0</v>
          </cell>
          <cell r="BV48">
            <v>3</v>
          </cell>
          <cell r="BW48">
            <v>1</v>
          </cell>
          <cell r="BX48">
            <v>2</v>
          </cell>
          <cell r="BY48">
            <v>0</v>
          </cell>
          <cell r="BZ48">
            <v>1</v>
          </cell>
          <cell r="CA48">
            <v>1</v>
          </cell>
          <cell r="CB48">
            <v>1</v>
          </cell>
          <cell r="CC48">
            <v>0</v>
          </cell>
          <cell r="CD48">
            <v>3</v>
          </cell>
          <cell r="CE48">
            <v>0</v>
          </cell>
          <cell r="CF48">
            <v>5</v>
          </cell>
          <cell r="CG48">
            <v>2</v>
          </cell>
          <cell r="CH48">
            <v>1</v>
          </cell>
          <cell r="CI48">
            <v>0</v>
          </cell>
          <cell r="CJ48">
            <v>3</v>
          </cell>
          <cell r="CK48">
            <v>1</v>
          </cell>
          <cell r="CL48">
            <v>2</v>
          </cell>
          <cell r="CM48">
            <v>0</v>
          </cell>
          <cell r="CN48">
            <v>2</v>
          </cell>
          <cell r="CO48">
            <v>0</v>
          </cell>
          <cell r="CP48">
            <v>2</v>
          </cell>
          <cell r="CQ48">
            <v>1</v>
          </cell>
          <cell r="CR48">
            <v>2</v>
          </cell>
          <cell r="CS48">
            <v>0</v>
          </cell>
          <cell r="CT48">
            <v>2</v>
          </cell>
          <cell r="CU48">
            <v>4</v>
          </cell>
          <cell r="CV48">
            <v>1</v>
          </cell>
          <cell r="CW48">
            <v>1</v>
          </cell>
          <cell r="CX48">
            <v>1</v>
          </cell>
          <cell r="CY48">
            <v>3</v>
          </cell>
          <cell r="CZ48">
            <v>1</v>
          </cell>
          <cell r="DA48">
            <v>3</v>
          </cell>
          <cell r="DB48">
            <v>1</v>
          </cell>
          <cell r="DC48">
            <v>3</v>
          </cell>
          <cell r="DD48">
            <v>0</v>
          </cell>
          <cell r="DE48">
            <v>2</v>
          </cell>
          <cell r="DF48">
            <v>0</v>
          </cell>
          <cell r="DG48">
            <v>3</v>
          </cell>
          <cell r="DH48">
            <v>1</v>
          </cell>
          <cell r="DI48">
            <v>2</v>
          </cell>
          <cell r="DJ48">
            <v>1</v>
          </cell>
          <cell r="DK48">
            <v>1</v>
          </cell>
          <cell r="DL48">
            <v>2</v>
          </cell>
          <cell r="DM48">
            <v>2</v>
          </cell>
          <cell r="DN48">
            <v>0</v>
          </cell>
          <cell r="DO48">
            <v>2</v>
          </cell>
          <cell r="DP48">
            <v>0</v>
          </cell>
          <cell r="DQ48">
            <v>2</v>
          </cell>
          <cell r="DR48">
            <v>3</v>
          </cell>
          <cell r="DS48">
            <v>1</v>
          </cell>
          <cell r="DT48">
            <v>3</v>
          </cell>
          <cell r="DU48">
            <v>2</v>
          </cell>
          <cell r="DV48">
            <v>1</v>
          </cell>
          <cell r="DW48">
            <v>2</v>
          </cell>
          <cell r="DX48">
            <v>3</v>
          </cell>
          <cell r="DY48">
            <v>1</v>
          </cell>
          <cell r="DZ48">
            <v>0</v>
          </cell>
        </row>
        <row r="49">
          <cell r="A49">
            <v>45</v>
          </cell>
          <cell r="B49" t="str">
            <v>Hernando Garcia</v>
          </cell>
          <cell r="C49">
            <v>3</v>
          </cell>
          <cell r="D49">
            <v>1</v>
          </cell>
          <cell r="E49">
            <v>2</v>
          </cell>
          <cell r="F49">
            <v>1</v>
          </cell>
          <cell r="G49">
            <v>0</v>
          </cell>
          <cell r="H49">
            <v>0</v>
          </cell>
          <cell r="I49">
            <v>2</v>
          </cell>
          <cell r="J49">
            <v>1</v>
          </cell>
          <cell r="K49">
            <v>1</v>
          </cell>
          <cell r="L49">
            <v>0</v>
          </cell>
          <cell r="M49">
            <v>4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2</v>
          </cell>
          <cell r="S49">
            <v>1</v>
          </cell>
          <cell r="T49">
            <v>0</v>
          </cell>
          <cell r="U49">
            <v>3</v>
          </cell>
          <cell r="V49">
            <v>1</v>
          </cell>
          <cell r="W49">
            <v>3</v>
          </cell>
          <cell r="X49">
            <v>1</v>
          </cell>
          <cell r="Y49">
            <v>1</v>
          </cell>
          <cell r="Z49">
            <v>0</v>
          </cell>
          <cell r="AA49">
            <v>2</v>
          </cell>
          <cell r="AB49">
            <v>1</v>
          </cell>
          <cell r="AC49">
            <v>0</v>
          </cell>
          <cell r="AD49">
            <v>1</v>
          </cell>
          <cell r="AE49">
            <v>1</v>
          </cell>
          <cell r="AF49">
            <v>1</v>
          </cell>
          <cell r="AG49">
            <v>2</v>
          </cell>
          <cell r="AH49">
            <v>1</v>
          </cell>
          <cell r="AI49">
            <v>1</v>
          </cell>
          <cell r="AJ49">
            <v>1</v>
          </cell>
          <cell r="AK49">
            <v>2</v>
          </cell>
          <cell r="AL49">
            <v>0</v>
          </cell>
          <cell r="AM49">
            <v>4</v>
          </cell>
          <cell r="AN49">
            <v>1</v>
          </cell>
          <cell r="AO49">
            <v>1</v>
          </cell>
          <cell r="AP49">
            <v>2</v>
          </cell>
          <cell r="AQ49">
            <v>2</v>
          </cell>
          <cell r="AR49">
            <v>1</v>
          </cell>
          <cell r="AS49">
            <v>2</v>
          </cell>
          <cell r="AT49">
            <v>1</v>
          </cell>
          <cell r="AU49">
            <v>3</v>
          </cell>
          <cell r="AV49">
            <v>2</v>
          </cell>
          <cell r="AW49">
            <v>2</v>
          </cell>
          <cell r="AX49">
            <v>1</v>
          </cell>
          <cell r="AY49">
            <v>2</v>
          </cell>
          <cell r="AZ49">
            <v>0</v>
          </cell>
          <cell r="BA49">
            <v>1</v>
          </cell>
          <cell r="BB49">
            <v>2</v>
          </cell>
          <cell r="BC49">
            <v>2</v>
          </cell>
          <cell r="BD49">
            <v>1</v>
          </cell>
          <cell r="BE49">
            <v>2</v>
          </cell>
          <cell r="BF49">
            <v>1</v>
          </cell>
          <cell r="BG49">
            <v>1</v>
          </cell>
          <cell r="BH49">
            <v>2</v>
          </cell>
          <cell r="BI49">
            <v>3</v>
          </cell>
          <cell r="BJ49">
            <v>1</v>
          </cell>
          <cell r="BK49">
            <v>1</v>
          </cell>
          <cell r="BL49">
            <v>2</v>
          </cell>
          <cell r="BM49">
            <v>1</v>
          </cell>
          <cell r="BN49">
            <v>3</v>
          </cell>
          <cell r="BO49">
            <v>0</v>
          </cell>
          <cell r="BP49">
            <v>1</v>
          </cell>
          <cell r="BQ49">
            <v>0</v>
          </cell>
          <cell r="BR49">
            <v>2</v>
          </cell>
          <cell r="BS49">
            <v>3</v>
          </cell>
          <cell r="BT49">
            <v>1</v>
          </cell>
          <cell r="BU49">
            <v>1</v>
          </cell>
          <cell r="BV49">
            <v>3</v>
          </cell>
          <cell r="BW49">
            <v>1</v>
          </cell>
          <cell r="BX49">
            <v>1</v>
          </cell>
          <cell r="BY49">
            <v>1</v>
          </cell>
          <cell r="BZ49">
            <v>0</v>
          </cell>
          <cell r="CA49">
            <v>0</v>
          </cell>
          <cell r="CB49">
            <v>1</v>
          </cell>
          <cell r="CC49">
            <v>0</v>
          </cell>
          <cell r="CD49">
            <v>1</v>
          </cell>
          <cell r="CE49">
            <v>0</v>
          </cell>
          <cell r="CF49">
            <v>2</v>
          </cell>
          <cell r="CG49">
            <v>0</v>
          </cell>
          <cell r="CH49">
            <v>1</v>
          </cell>
          <cell r="CI49">
            <v>0</v>
          </cell>
          <cell r="CJ49">
            <v>2</v>
          </cell>
          <cell r="CK49">
            <v>0</v>
          </cell>
          <cell r="CL49">
            <v>1</v>
          </cell>
          <cell r="CM49">
            <v>0</v>
          </cell>
          <cell r="CN49">
            <v>0</v>
          </cell>
          <cell r="CO49">
            <v>1</v>
          </cell>
          <cell r="CP49">
            <v>0</v>
          </cell>
          <cell r="CQ49">
            <v>0</v>
          </cell>
          <cell r="CR49">
            <v>1</v>
          </cell>
          <cell r="CS49">
            <v>1</v>
          </cell>
          <cell r="CT49">
            <v>0</v>
          </cell>
          <cell r="CU49">
            <v>1</v>
          </cell>
          <cell r="CV49">
            <v>2</v>
          </cell>
          <cell r="CW49">
            <v>1</v>
          </cell>
          <cell r="CX49">
            <v>0</v>
          </cell>
          <cell r="CY49">
            <v>2</v>
          </cell>
          <cell r="CZ49">
            <v>0</v>
          </cell>
          <cell r="DA49">
            <v>0</v>
          </cell>
          <cell r="DB49">
            <v>1</v>
          </cell>
          <cell r="DC49">
            <v>3</v>
          </cell>
          <cell r="DD49">
            <v>1</v>
          </cell>
          <cell r="DE49">
            <v>1</v>
          </cell>
          <cell r="DF49">
            <v>0</v>
          </cell>
          <cell r="DG49">
            <v>2</v>
          </cell>
          <cell r="DH49">
            <v>1</v>
          </cell>
          <cell r="DI49">
            <v>1</v>
          </cell>
          <cell r="DJ49">
            <v>0</v>
          </cell>
          <cell r="DK49">
            <v>3</v>
          </cell>
          <cell r="DL49">
            <v>1</v>
          </cell>
          <cell r="DM49">
            <v>1</v>
          </cell>
          <cell r="DN49">
            <v>0</v>
          </cell>
          <cell r="DO49">
            <v>1</v>
          </cell>
          <cell r="DP49">
            <v>2</v>
          </cell>
          <cell r="DQ49">
            <v>3</v>
          </cell>
          <cell r="DR49">
            <v>2</v>
          </cell>
          <cell r="DS49">
            <v>1</v>
          </cell>
          <cell r="DT49">
            <v>0</v>
          </cell>
          <cell r="DU49">
            <v>0</v>
          </cell>
          <cell r="DV49">
            <v>1</v>
          </cell>
          <cell r="DW49">
            <v>3</v>
          </cell>
          <cell r="DX49">
            <v>1</v>
          </cell>
          <cell r="DY49">
            <v>2</v>
          </cell>
          <cell r="DZ49">
            <v>1</v>
          </cell>
        </row>
        <row r="50">
          <cell r="A50">
            <v>46</v>
          </cell>
          <cell r="B50" t="str">
            <v>Alvaro Holguin</v>
          </cell>
          <cell r="C50">
            <v>3</v>
          </cell>
          <cell r="D50">
            <v>1</v>
          </cell>
          <cell r="E50">
            <v>2</v>
          </cell>
          <cell r="F50">
            <v>2</v>
          </cell>
          <cell r="G50">
            <v>1</v>
          </cell>
          <cell r="H50">
            <v>0</v>
          </cell>
          <cell r="I50">
            <v>2</v>
          </cell>
          <cell r="J50">
            <v>1</v>
          </cell>
          <cell r="K50">
            <v>2</v>
          </cell>
          <cell r="L50">
            <v>1</v>
          </cell>
          <cell r="M50">
            <v>3</v>
          </cell>
          <cell r="N50">
            <v>0</v>
          </cell>
          <cell r="O50">
            <v>1</v>
          </cell>
          <cell r="P50">
            <v>0</v>
          </cell>
          <cell r="Q50">
            <v>1</v>
          </cell>
          <cell r="R50">
            <v>2</v>
          </cell>
          <cell r="S50">
            <v>2</v>
          </cell>
          <cell r="T50">
            <v>0</v>
          </cell>
          <cell r="U50">
            <v>2</v>
          </cell>
          <cell r="V50">
            <v>1</v>
          </cell>
          <cell r="W50">
            <v>3</v>
          </cell>
          <cell r="X50">
            <v>0</v>
          </cell>
          <cell r="Y50">
            <v>1</v>
          </cell>
          <cell r="Z50">
            <v>2</v>
          </cell>
          <cell r="AA50">
            <v>1</v>
          </cell>
          <cell r="AB50">
            <v>0</v>
          </cell>
          <cell r="AC50">
            <v>1</v>
          </cell>
          <cell r="AD50">
            <v>2</v>
          </cell>
          <cell r="AE50">
            <v>2</v>
          </cell>
          <cell r="AF50">
            <v>2</v>
          </cell>
          <cell r="AG50">
            <v>2</v>
          </cell>
          <cell r="AH50">
            <v>0</v>
          </cell>
          <cell r="AI50">
            <v>0</v>
          </cell>
          <cell r="AJ50">
            <v>1</v>
          </cell>
          <cell r="AK50">
            <v>3</v>
          </cell>
          <cell r="AL50">
            <v>1</v>
          </cell>
          <cell r="AM50">
            <v>4</v>
          </cell>
          <cell r="AN50">
            <v>0</v>
          </cell>
          <cell r="AO50">
            <v>0</v>
          </cell>
          <cell r="AP50">
            <v>5</v>
          </cell>
          <cell r="AQ50">
            <v>3</v>
          </cell>
          <cell r="AR50">
            <v>1</v>
          </cell>
          <cell r="AS50">
            <v>2</v>
          </cell>
          <cell r="AT50">
            <v>2</v>
          </cell>
          <cell r="AU50">
            <v>1</v>
          </cell>
          <cell r="AV50">
            <v>1</v>
          </cell>
          <cell r="AW50">
            <v>4</v>
          </cell>
          <cell r="AX50">
            <v>0</v>
          </cell>
          <cell r="AY50">
            <v>2</v>
          </cell>
          <cell r="AZ50">
            <v>0</v>
          </cell>
          <cell r="BA50">
            <v>0</v>
          </cell>
          <cell r="BB50">
            <v>1</v>
          </cell>
          <cell r="BC50">
            <v>1</v>
          </cell>
          <cell r="BD50">
            <v>0</v>
          </cell>
          <cell r="BE50">
            <v>2</v>
          </cell>
          <cell r="BF50">
            <v>0</v>
          </cell>
          <cell r="BG50">
            <v>1</v>
          </cell>
          <cell r="BH50">
            <v>2</v>
          </cell>
          <cell r="BI50">
            <v>3</v>
          </cell>
          <cell r="BJ50">
            <v>0</v>
          </cell>
          <cell r="BK50">
            <v>0</v>
          </cell>
          <cell r="BL50">
            <v>1</v>
          </cell>
          <cell r="BM50">
            <v>1</v>
          </cell>
          <cell r="BN50">
            <v>2</v>
          </cell>
          <cell r="BO50">
            <v>2</v>
          </cell>
          <cell r="BP50">
            <v>1</v>
          </cell>
          <cell r="BQ50">
            <v>0</v>
          </cell>
          <cell r="BR50">
            <v>2</v>
          </cell>
          <cell r="BS50">
            <v>3</v>
          </cell>
          <cell r="BT50">
            <v>1</v>
          </cell>
          <cell r="BU50">
            <v>1</v>
          </cell>
          <cell r="BV50">
            <v>4</v>
          </cell>
          <cell r="BW50">
            <v>0</v>
          </cell>
          <cell r="BX50">
            <v>1</v>
          </cell>
          <cell r="BY50">
            <v>0</v>
          </cell>
          <cell r="BZ50">
            <v>1</v>
          </cell>
          <cell r="CA50">
            <v>1</v>
          </cell>
          <cell r="CB50">
            <v>2</v>
          </cell>
          <cell r="CC50">
            <v>3</v>
          </cell>
          <cell r="CD50">
            <v>3</v>
          </cell>
          <cell r="CE50">
            <v>0</v>
          </cell>
          <cell r="CF50">
            <v>2</v>
          </cell>
          <cell r="CG50">
            <v>1</v>
          </cell>
          <cell r="CH50">
            <v>0</v>
          </cell>
          <cell r="CI50">
            <v>0</v>
          </cell>
          <cell r="CJ50">
            <v>5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2</v>
          </cell>
          <cell r="CR50">
            <v>1</v>
          </cell>
          <cell r="CS50">
            <v>1</v>
          </cell>
          <cell r="CT50">
            <v>0</v>
          </cell>
          <cell r="CU50">
            <v>3</v>
          </cell>
          <cell r="CV50">
            <v>1</v>
          </cell>
          <cell r="CW50">
            <v>2</v>
          </cell>
          <cell r="CX50">
            <v>4</v>
          </cell>
          <cell r="CY50">
            <v>1</v>
          </cell>
          <cell r="CZ50">
            <v>2</v>
          </cell>
          <cell r="DA50">
            <v>1</v>
          </cell>
          <cell r="DB50">
            <v>1</v>
          </cell>
          <cell r="DC50">
            <v>3</v>
          </cell>
          <cell r="DD50">
            <v>1</v>
          </cell>
          <cell r="DE50">
            <v>3</v>
          </cell>
          <cell r="DF50">
            <v>0</v>
          </cell>
          <cell r="DG50">
            <v>2</v>
          </cell>
          <cell r="DH50">
            <v>1</v>
          </cell>
          <cell r="DI50">
            <v>1</v>
          </cell>
          <cell r="DJ50">
            <v>0</v>
          </cell>
          <cell r="DK50">
            <v>2</v>
          </cell>
          <cell r="DL50">
            <v>2</v>
          </cell>
          <cell r="DM50">
            <v>3</v>
          </cell>
          <cell r="DN50">
            <v>1</v>
          </cell>
          <cell r="DO50">
            <v>1</v>
          </cell>
          <cell r="DP50">
            <v>2</v>
          </cell>
          <cell r="DQ50">
            <v>1</v>
          </cell>
          <cell r="DR50">
            <v>1</v>
          </cell>
          <cell r="DS50">
            <v>3</v>
          </cell>
          <cell r="DT50">
            <v>3</v>
          </cell>
          <cell r="DU50">
            <v>1</v>
          </cell>
          <cell r="DV50">
            <v>1</v>
          </cell>
          <cell r="DW50">
            <v>3</v>
          </cell>
          <cell r="DX50">
            <v>3</v>
          </cell>
          <cell r="DY50">
            <v>1</v>
          </cell>
          <cell r="DZ50">
            <v>0</v>
          </cell>
        </row>
        <row r="51">
          <cell r="A51">
            <v>47</v>
          </cell>
          <cell r="B51" t="str">
            <v>Ernesto C Lemaitre F</v>
          </cell>
          <cell r="C51">
            <v>2</v>
          </cell>
          <cell r="D51">
            <v>0</v>
          </cell>
          <cell r="E51">
            <v>0</v>
          </cell>
          <cell r="F51">
            <v>2</v>
          </cell>
          <cell r="G51">
            <v>0</v>
          </cell>
          <cell r="H51">
            <v>0</v>
          </cell>
          <cell r="I51">
            <v>1</v>
          </cell>
          <cell r="J51">
            <v>2</v>
          </cell>
          <cell r="K51">
            <v>3</v>
          </cell>
          <cell r="L51">
            <v>0</v>
          </cell>
          <cell r="M51">
            <v>2</v>
          </cell>
          <cell r="N51">
            <v>0</v>
          </cell>
          <cell r="O51">
            <v>0</v>
          </cell>
          <cell r="P51">
            <v>1</v>
          </cell>
          <cell r="Q51">
            <v>2</v>
          </cell>
          <cell r="R51">
            <v>2</v>
          </cell>
          <cell r="S51">
            <v>1</v>
          </cell>
          <cell r="T51">
            <v>0</v>
          </cell>
          <cell r="U51">
            <v>2</v>
          </cell>
          <cell r="V51">
            <v>0</v>
          </cell>
          <cell r="W51">
            <v>3</v>
          </cell>
          <cell r="X51">
            <v>0</v>
          </cell>
          <cell r="Y51">
            <v>1</v>
          </cell>
          <cell r="Z51">
            <v>1</v>
          </cell>
          <cell r="AA51">
            <v>3</v>
          </cell>
          <cell r="AB51">
            <v>0</v>
          </cell>
          <cell r="AC51">
            <v>0</v>
          </cell>
          <cell r="AD51">
            <v>2</v>
          </cell>
          <cell r="AE51">
            <v>1</v>
          </cell>
          <cell r="AF51">
            <v>2</v>
          </cell>
          <cell r="AG51">
            <v>2</v>
          </cell>
          <cell r="AH51">
            <v>1</v>
          </cell>
          <cell r="AI51">
            <v>1</v>
          </cell>
          <cell r="AJ51">
            <v>1</v>
          </cell>
          <cell r="AK51">
            <v>2</v>
          </cell>
          <cell r="AL51">
            <v>0</v>
          </cell>
          <cell r="AM51">
            <v>3</v>
          </cell>
          <cell r="AN51">
            <v>0</v>
          </cell>
          <cell r="AO51">
            <v>0</v>
          </cell>
          <cell r="AP51">
            <v>3</v>
          </cell>
          <cell r="AQ51">
            <v>2</v>
          </cell>
          <cell r="AR51">
            <v>0</v>
          </cell>
          <cell r="AS51">
            <v>2</v>
          </cell>
          <cell r="AT51">
            <v>1</v>
          </cell>
          <cell r="AU51">
            <v>2</v>
          </cell>
          <cell r="AV51">
            <v>1</v>
          </cell>
          <cell r="AW51">
            <v>2</v>
          </cell>
          <cell r="AX51">
            <v>0</v>
          </cell>
          <cell r="AY51">
            <v>2</v>
          </cell>
          <cell r="AZ51">
            <v>1</v>
          </cell>
          <cell r="BA51">
            <v>0</v>
          </cell>
          <cell r="BB51">
            <v>1</v>
          </cell>
          <cell r="BC51">
            <v>3</v>
          </cell>
          <cell r="BD51">
            <v>0</v>
          </cell>
          <cell r="BE51">
            <v>3</v>
          </cell>
          <cell r="BF51">
            <v>0</v>
          </cell>
          <cell r="BG51">
            <v>1</v>
          </cell>
          <cell r="BH51">
            <v>2</v>
          </cell>
          <cell r="BI51">
            <v>2</v>
          </cell>
          <cell r="BJ51">
            <v>0</v>
          </cell>
          <cell r="BK51">
            <v>0</v>
          </cell>
          <cell r="BL51">
            <v>2</v>
          </cell>
          <cell r="BM51">
            <v>1</v>
          </cell>
          <cell r="BN51">
            <v>1</v>
          </cell>
          <cell r="BO51">
            <v>2</v>
          </cell>
          <cell r="BP51">
            <v>1</v>
          </cell>
          <cell r="BQ51">
            <v>0</v>
          </cell>
          <cell r="BR51">
            <v>2</v>
          </cell>
          <cell r="BS51">
            <v>3</v>
          </cell>
          <cell r="BT51">
            <v>0</v>
          </cell>
          <cell r="BU51">
            <v>0</v>
          </cell>
          <cell r="BV51">
            <v>2</v>
          </cell>
          <cell r="BW51">
            <v>0</v>
          </cell>
          <cell r="BX51">
            <v>2</v>
          </cell>
          <cell r="BY51">
            <v>0</v>
          </cell>
          <cell r="BZ51">
            <v>0</v>
          </cell>
          <cell r="CA51">
            <v>1</v>
          </cell>
          <cell r="CB51">
            <v>2</v>
          </cell>
          <cell r="CC51">
            <v>1</v>
          </cell>
          <cell r="CD51">
            <v>2</v>
          </cell>
          <cell r="CE51">
            <v>0</v>
          </cell>
          <cell r="CF51">
            <v>3</v>
          </cell>
          <cell r="CG51">
            <v>1</v>
          </cell>
          <cell r="CH51">
            <v>0</v>
          </cell>
          <cell r="CI51">
            <v>0</v>
          </cell>
          <cell r="CJ51">
            <v>3</v>
          </cell>
          <cell r="CK51">
            <v>2</v>
          </cell>
          <cell r="CL51">
            <v>1</v>
          </cell>
          <cell r="CM51">
            <v>0</v>
          </cell>
          <cell r="CN51">
            <v>2</v>
          </cell>
          <cell r="CO51">
            <v>2</v>
          </cell>
          <cell r="CP51">
            <v>2</v>
          </cell>
          <cell r="CQ51">
            <v>1</v>
          </cell>
          <cell r="CR51">
            <v>2</v>
          </cell>
          <cell r="CS51">
            <v>1</v>
          </cell>
          <cell r="CT51">
            <v>0</v>
          </cell>
          <cell r="CU51">
            <v>2</v>
          </cell>
          <cell r="CV51">
            <v>0</v>
          </cell>
          <cell r="CW51">
            <v>2</v>
          </cell>
          <cell r="CX51">
            <v>2</v>
          </cell>
          <cell r="CY51">
            <v>2</v>
          </cell>
          <cell r="CZ51">
            <v>0</v>
          </cell>
          <cell r="DA51">
            <v>2</v>
          </cell>
          <cell r="DB51">
            <v>1</v>
          </cell>
          <cell r="DC51">
            <v>2</v>
          </cell>
          <cell r="DD51">
            <v>0</v>
          </cell>
          <cell r="DE51">
            <v>2</v>
          </cell>
          <cell r="DF51">
            <v>1</v>
          </cell>
          <cell r="DG51">
            <v>2</v>
          </cell>
          <cell r="DH51">
            <v>0</v>
          </cell>
          <cell r="DI51">
            <v>1</v>
          </cell>
          <cell r="DJ51">
            <v>1</v>
          </cell>
          <cell r="DK51">
            <v>2</v>
          </cell>
          <cell r="DL51">
            <v>0</v>
          </cell>
          <cell r="DM51">
            <v>2</v>
          </cell>
          <cell r="DN51">
            <v>1</v>
          </cell>
          <cell r="DO51">
            <v>2</v>
          </cell>
          <cell r="DP51">
            <v>0</v>
          </cell>
          <cell r="DQ51">
            <v>1</v>
          </cell>
          <cell r="DR51">
            <v>1</v>
          </cell>
          <cell r="DS51">
            <v>1</v>
          </cell>
          <cell r="DT51">
            <v>2</v>
          </cell>
          <cell r="DU51">
            <v>0</v>
          </cell>
          <cell r="DV51">
            <v>1</v>
          </cell>
          <cell r="DW51">
            <v>1</v>
          </cell>
          <cell r="DX51">
            <v>2</v>
          </cell>
          <cell r="DY51">
            <v>1</v>
          </cell>
          <cell r="DZ51">
            <v>0</v>
          </cell>
        </row>
        <row r="52">
          <cell r="A52">
            <v>48</v>
          </cell>
          <cell r="B52" t="str">
            <v>Alejandro-Camilo Borrero</v>
          </cell>
          <cell r="C52">
            <v>2</v>
          </cell>
          <cell r="D52">
            <v>1</v>
          </cell>
          <cell r="E52">
            <v>0</v>
          </cell>
          <cell r="F52">
            <v>2</v>
          </cell>
          <cell r="G52">
            <v>2</v>
          </cell>
          <cell r="H52">
            <v>1</v>
          </cell>
          <cell r="I52">
            <v>1</v>
          </cell>
          <cell r="J52">
            <v>2</v>
          </cell>
          <cell r="K52">
            <v>2</v>
          </cell>
          <cell r="L52">
            <v>0</v>
          </cell>
          <cell r="M52">
            <v>2</v>
          </cell>
          <cell r="N52">
            <v>0</v>
          </cell>
          <cell r="O52">
            <v>1</v>
          </cell>
          <cell r="P52">
            <v>1</v>
          </cell>
          <cell r="Q52">
            <v>2</v>
          </cell>
          <cell r="R52">
            <v>1</v>
          </cell>
          <cell r="S52">
            <v>2</v>
          </cell>
          <cell r="T52">
            <v>2</v>
          </cell>
          <cell r="U52">
            <v>2</v>
          </cell>
          <cell r="V52">
            <v>1</v>
          </cell>
          <cell r="W52">
            <v>2</v>
          </cell>
          <cell r="X52">
            <v>1</v>
          </cell>
          <cell r="Y52">
            <v>0</v>
          </cell>
          <cell r="Z52">
            <v>2</v>
          </cell>
          <cell r="AA52">
            <v>3</v>
          </cell>
          <cell r="AB52">
            <v>0</v>
          </cell>
          <cell r="AC52">
            <v>0</v>
          </cell>
          <cell r="AD52">
            <v>2</v>
          </cell>
          <cell r="AE52">
            <v>2</v>
          </cell>
          <cell r="AF52">
            <v>0</v>
          </cell>
          <cell r="AG52">
            <v>3</v>
          </cell>
          <cell r="AH52">
            <v>2</v>
          </cell>
          <cell r="AI52">
            <v>3</v>
          </cell>
          <cell r="AJ52">
            <v>2</v>
          </cell>
          <cell r="AK52">
            <v>3</v>
          </cell>
          <cell r="AL52">
            <v>1</v>
          </cell>
          <cell r="AM52">
            <v>3</v>
          </cell>
          <cell r="AN52">
            <v>1</v>
          </cell>
          <cell r="AO52">
            <v>0</v>
          </cell>
          <cell r="AP52">
            <v>3</v>
          </cell>
          <cell r="AQ52">
            <v>2</v>
          </cell>
          <cell r="AR52">
            <v>0</v>
          </cell>
          <cell r="AS52">
            <v>0</v>
          </cell>
          <cell r="AT52">
            <v>1</v>
          </cell>
          <cell r="AU52">
            <v>2</v>
          </cell>
          <cell r="AV52">
            <v>1</v>
          </cell>
          <cell r="AW52">
            <v>3</v>
          </cell>
          <cell r="AX52">
            <v>2</v>
          </cell>
          <cell r="AY52">
            <v>0</v>
          </cell>
          <cell r="AZ52">
            <v>1</v>
          </cell>
          <cell r="BA52">
            <v>1</v>
          </cell>
          <cell r="BB52">
            <v>2</v>
          </cell>
          <cell r="BC52">
            <v>2</v>
          </cell>
          <cell r="BD52">
            <v>1</v>
          </cell>
          <cell r="BE52">
            <v>3</v>
          </cell>
          <cell r="BF52">
            <v>1</v>
          </cell>
          <cell r="BG52">
            <v>2</v>
          </cell>
          <cell r="BH52">
            <v>2</v>
          </cell>
          <cell r="BI52">
            <v>3</v>
          </cell>
          <cell r="BJ52">
            <v>1</v>
          </cell>
          <cell r="BK52">
            <v>2</v>
          </cell>
          <cell r="BL52">
            <v>1</v>
          </cell>
          <cell r="BM52">
            <v>2</v>
          </cell>
          <cell r="BN52">
            <v>1</v>
          </cell>
          <cell r="BO52">
            <v>2</v>
          </cell>
          <cell r="BP52">
            <v>2</v>
          </cell>
          <cell r="BQ52">
            <v>2</v>
          </cell>
          <cell r="BR52">
            <v>1</v>
          </cell>
          <cell r="BS52">
            <v>1</v>
          </cell>
          <cell r="BT52">
            <v>2</v>
          </cell>
          <cell r="BU52">
            <v>0</v>
          </cell>
          <cell r="BV52">
            <v>3</v>
          </cell>
          <cell r="BW52">
            <v>1</v>
          </cell>
          <cell r="BX52">
            <v>3</v>
          </cell>
          <cell r="BY52">
            <v>3</v>
          </cell>
          <cell r="BZ52">
            <v>2</v>
          </cell>
          <cell r="CA52">
            <v>1</v>
          </cell>
          <cell r="CB52">
            <v>2</v>
          </cell>
          <cell r="CC52">
            <v>0</v>
          </cell>
          <cell r="CD52">
            <v>3</v>
          </cell>
          <cell r="CE52">
            <v>1</v>
          </cell>
          <cell r="CF52">
            <v>3</v>
          </cell>
          <cell r="CG52">
            <v>3</v>
          </cell>
          <cell r="CH52">
            <v>0</v>
          </cell>
          <cell r="CI52">
            <v>1</v>
          </cell>
          <cell r="CJ52">
            <v>3</v>
          </cell>
          <cell r="CK52">
            <v>2</v>
          </cell>
          <cell r="CL52">
            <v>1</v>
          </cell>
          <cell r="CM52">
            <v>3</v>
          </cell>
          <cell r="CN52">
            <v>2</v>
          </cell>
          <cell r="CO52">
            <v>0</v>
          </cell>
          <cell r="CP52">
            <v>2</v>
          </cell>
          <cell r="CQ52">
            <v>3</v>
          </cell>
          <cell r="CR52">
            <v>2</v>
          </cell>
          <cell r="CS52">
            <v>2</v>
          </cell>
          <cell r="CT52">
            <v>1</v>
          </cell>
          <cell r="CU52">
            <v>3</v>
          </cell>
          <cell r="CV52">
            <v>2</v>
          </cell>
          <cell r="CW52">
            <v>2</v>
          </cell>
          <cell r="CX52">
            <v>3</v>
          </cell>
          <cell r="CY52">
            <v>3</v>
          </cell>
          <cell r="CZ52">
            <v>1</v>
          </cell>
          <cell r="DA52">
            <v>3</v>
          </cell>
          <cell r="DB52">
            <v>0</v>
          </cell>
          <cell r="DC52">
            <v>3</v>
          </cell>
          <cell r="DD52">
            <v>2</v>
          </cell>
          <cell r="DE52">
            <v>2</v>
          </cell>
          <cell r="DF52">
            <v>0</v>
          </cell>
          <cell r="DG52">
            <v>2</v>
          </cell>
          <cell r="DH52">
            <v>1</v>
          </cell>
          <cell r="DI52">
            <v>2</v>
          </cell>
          <cell r="DJ52">
            <v>1</v>
          </cell>
          <cell r="DK52">
            <v>2</v>
          </cell>
          <cell r="DL52">
            <v>2</v>
          </cell>
          <cell r="DM52">
            <v>3</v>
          </cell>
          <cell r="DN52">
            <v>1</v>
          </cell>
          <cell r="DO52">
            <v>3</v>
          </cell>
          <cell r="DP52">
            <v>3</v>
          </cell>
          <cell r="DQ52">
            <v>2</v>
          </cell>
          <cell r="DR52">
            <v>0</v>
          </cell>
          <cell r="DS52">
            <v>1</v>
          </cell>
          <cell r="DT52">
            <v>1</v>
          </cell>
          <cell r="DU52">
            <v>2</v>
          </cell>
          <cell r="DV52">
            <v>4</v>
          </cell>
          <cell r="DW52">
            <v>2</v>
          </cell>
          <cell r="DX52">
            <v>3</v>
          </cell>
          <cell r="DY52">
            <v>1</v>
          </cell>
          <cell r="DZ52">
            <v>3</v>
          </cell>
        </row>
        <row r="53">
          <cell r="A53">
            <v>49</v>
          </cell>
          <cell r="B53" t="str">
            <v>Toqui - Estefania - Daniel</v>
          </cell>
          <cell r="C53">
            <v>1</v>
          </cell>
          <cell r="D53">
            <v>0</v>
          </cell>
          <cell r="E53">
            <v>0</v>
          </cell>
          <cell r="F53">
            <v>1</v>
          </cell>
          <cell r="G53">
            <v>0</v>
          </cell>
          <cell r="H53">
            <v>1</v>
          </cell>
          <cell r="I53">
            <v>2</v>
          </cell>
          <cell r="J53">
            <v>1</v>
          </cell>
          <cell r="K53">
            <v>1</v>
          </cell>
          <cell r="L53">
            <v>0</v>
          </cell>
          <cell r="M53">
            <v>2</v>
          </cell>
          <cell r="N53">
            <v>0</v>
          </cell>
          <cell r="O53">
            <v>2</v>
          </cell>
          <cell r="P53">
            <v>0</v>
          </cell>
          <cell r="Q53">
            <v>1</v>
          </cell>
          <cell r="R53">
            <v>1</v>
          </cell>
          <cell r="S53">
            <v>1</v>
          </cell>
          <cell r="T53">
            <v>0</v>
          </cell>
          <cell r="U53">
            <v>3</v>
          </cell>
          <cell r="V53">
            <v>1</v>
          </cell>
          <cell r="W53">
            <v>2</v>
          </cell>
          <cell r="X53">
            <v>1</v>
          </cell>
          <cell r="Y53">
            <v>2</v>
          </cell>
          <cell r="Z53">
            <v>1</v>
          </cell>
          <cell r="AA53">
            <v>1</v>
          </cell>
          <cell r="AB53">
            <v>1</v>
          </cell>
          <cell r="AC53">
            <v>0</v>
          </cell>
          <cell r="AD53">
            <v>2</v>
          </cell>
          <cell r="AE53">
            <v>1</v>
          </cell>
          <cell r="AF53">
            <v>1</v>
          </cell>
          <cell r="AG53">
            <v>2</v>
          </cell>
          <cell r="AH53">
            <v>1</v>
          </cell>
          <cell r="AI53">
            <v>2</v>
          </cell>
          <cell r="AJ53">
            <v>0</v>
          </cell>
          <cell r="AK53">
            <v>2</v>
          </cell>
          <cell r="AL53">
            <v>0</v>
          </cell>
          <cell r="AM53">
            <v>2</v>
          </cell>
          <cell r="AN53">
            <v>0</v>
          </cell>
          <cell r="AO53">
            <v>0</v>
          </cell>
          <cell r="AP53">
            <v>1</v>
          </cell>
          <cell r="AQ53">
            <v>1</v>
          </cell>
          <cell r="AR53">
            <v>1</v>
          </cell>
          <cell r="AS53">
            <v>0</v>
          </cell>
          <cell r="AT53">
            <v>1</v>
          </cell>
          <cell r="AU53">
            <v>2</v>
          </cell>
          <cell r="AV53">
            <v>0</v>
          </cell>
          <cell r="AW53">
            <v>2</v>
          </cell>
          <cell r="AX53">
            <v>1</v>
          </cell>
          <cell r="AY53">
            <v>1</v>
          </cell>
          <cell r="AZ53">
            <v>1</v>
          </cell>
          <cell r="BA53">
            <v>0</v>
          </cell>
          <cell r="BB53">
            <v>1</v>
          </cell>
          <cell r="BC53">
            <v>1</v>
          </cell>
          <cell r="BD53">
            <v>0</v>
          </cell>
          <cell r="BE53">
            <v>2</v>
          </cell>
          <cell r="BF53">
            <v>0</v>
          </cell>
          <cell r="BG53">
            <v>1</v>
          </cell>
          <cell r="BH53">
            <v>1</v>
          </cell>
          <cell r="BI53">
            <v>2</v>
          </cell>
          <cell r="BJ53">
            <v>0</v>
          </cell>
          <cell r="BK53">
            <v>1</v>
          </cell>
          <cell r="BL53">
            <v>0</v>
          </cell>
          <cell r="BM53">
            <v>1</v>
          </cell>
          <cell r="BN53">
            <v>2</v>
          </cell>
          <cell r="BO53">
            <v>1</v>
          </cell>
          <cell r="BP53">
            <v>0</v>
          </cell>
          <cell r="BQ53">
            <v>1</v>
          </cell>
          <cell r="BR53">
            <v>1</v>
          </cell>
          <cell r="BS53">
            <v>1</v>
          </cell>
          <cell r="BT53">
            <v>0</v>
          </cell>
          <cell r="BU53">
            <v>0</v>
          </cell>
          <cell r="BV53">
            <v>2</v>
          </cell>
          <cell r="BW53">
            <v>0</v>
          </cell>
          <cell r="BX53">
            <v>1</v>
          </cell>
          <cell r="BY53">
            <v>0</v>
          </cell>
          <cell r="BZ53">
            <v>2</v>
          </cell>
          <cell r="CA53">
            <v>1</v>
          </cell>
          <cell r="CB53">
            <v>0</v>
          </cell>
          <cell r="CC53">
            <v>0</v>
          </cell>
          <cell r="CD53">
            <v>2</v>
          </cell>
          <cell r="CE53">
            <v>0</v>
          </cell>
          <cell r="CF53">
            <v>2</v>
          </cell>
          <cell r="CG53">
            <v>1</v>
          </cell>
          <cell r="CH53">
            <v>0</v>
          </cell>
          <cell r="CI53">
            <v>0</v>
          </cell>
          <cell r="CJ53">
            <v>2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0</v>
          </cell>
          <cell r="CP53">
            <v>1</v>
          </cell>
          <cell r="CQ53">
            <v>1</v>
          </cell>
          <cell r="CR53">
            <v>0</v>
          </cell>
          <cell r="CS53">
            <v>1</v>
          </cell>
          <cell r="CT53">
            <v>0</v>
          </cell>
          <cell r="CU53">
            <v>2</v>
          </cell>
          <cell r="CV53">
            <v>1</v>
          </cell>
          <cell r="CW53">
            <v>1</v>
          </cell>
          <cell r="CX53">
            <v>2</v>
          </cell>
          <cell r="CY53">
            <v>1</v>
          </cell>
          <cell r="CZ53">
            <v>2</v>
          </cell>
          <cell r="DA53">
            <v>3</v>
          </cell>
          <cell r="DB53">
            <v>1</v>
          </cell>
          <cell r="DC53">
            <v>2</v>
          </cell>
          <cell r="DD53">
            <v>1</v>
          </cell>
          <cell r="DE53">
            <v>0</v>
          </cell>
          <cell r="DF53">
            <v>1</v>
          </cell>
          <cell r="DG53">
            <v>2</v>
          </cell>
          <cell r="DH53">
            <v>0</v>
          </cell>
          <cell r="DI53">
            <v>2</v>
          </cell>
          <cell r="DJ53">
            <v>1</v>
          </cell>
          <cell r="DK53">
            <v>2</v>
          </cell>
          <cell r="DL53">
            <v>1</v>
          </cell>
          <cell r="DM53">
            <v>2</v>
          </cell>
          <cell r="DN53">
            <v>0</v>
          </cell>
          <cell r="DO53">
            <v>2</v>
          </cell>
          <cell r="DP53">
            <v>1</v>
          </cell>
          <cell r="DQ53">
            <v>1</v>
          </cell>
          <cell r="DR53">
            <v>2</v>
          </cell>
          <cell r="DS53">
            <v>2</v>
          </cell>
          <cell r="DT53">
            <v>1</v>
          </cell>
          <cell r="DU53">
            <v>3</v>
          </cell>
          <cell r="DV53">
            <v>1</v>
          </cell>
          <cell r="DW53">
            <v>2</v>
          </cell>
          <cell r="DX53">
            <v>0</v>
          </cell>
          <cell r="DY53">
            <v>1</v>
          </cell>
          <cell r="DZ53">
            <v>3</v>
          </cell>
        </row>
        <row r="54">
          <cell r="A54">
            <v>50</v>
          </cell>
          <cell r="B54" t="str">
            <v>Toqui Lemaitre</v>
          </cell>
          <cell r="C54">
            <v>1</v>
          </cell>
          <cell r="D54">
            <v>0</v>
          </cell>
          <cell r="E54">
            <v>1</v>
          </cell>
          <cell r="F54">
            <v>2</v>
          </cell>
          <cell r="G54">
            <v>1</v>
          </cell>
          <cell r="H54">
            <v>1</v>
          </cell>
          <cell r="I54">
            <v>1</v>
          </cell>
          <cell r="J54">
            <v>1</v>
          </cell>
          <cell r="K54">
            <v>2</v>
          </cell>
          <cell r="L54">
            <v>0</v>
          </cell>
          <cell r="M54">
            <v>2</v>
          </cell>
          <cell r="N54">
            <v>0</v>
          </cell>
          <cell r="O54">
            <v>1</v>
          </cell>
          <cell r="P54">
            <v>1</v>
          </cell>
          <cell r="Q54">
            <v>1</v>
          </cell>
          <cell r="R54">
            <v>0</v>
          </cell>
          <cell r="S54">
            <v>0</v>
          </cell>
          <cell r="T54">
            <v>0</v>
          </cell>
          <cell r="U54">
            <v>1</v>
          </cell>
          <cell r="V54">
            <v>0</v>
          </cell>
          <cell r="W54">
            <v>2</v>
          </cell>
          <cell r="X54">
            <v>1</v>
          </cell>
          <cell r="Y54">
            <v>1</v>
          </cell>
          <cell r="Z54">
            <v>0</v>
          </cell>
          <cell r="AA54">
            <v>2</v>
          </cell>
          <cell r="AB54">
            <v>0</v>
          </cell>
          <cell r="AC54">
            <v>0</v>
          </cell>
          <cell r="AD54">
            <v>2</v>
          </cell>
          <cell r="AE54">
            <v>2</v>
          </cell>
          <cell r="AF54">
            <v>0</v>
          </cell>
          <cell r="AG54">
            <v>2</v>
          </cell>
          <cell r="AH54">
            <v>0</v>
          </cell>
          <cell r="AI54">
            <v>0</v>
          </cell>
          <cell r="AJ54">
            <v>1</v>
          </cell>
          <cell r="AK54">
            <v>2</v>
          </cell>
          <cell r="AL54">
            <v>1</v>
          </cell>
          <cell r="AM54">
            <v>2</v>
          </cell>
          <cell r="AN54">
            <v>0</v>
          </cell>
          <cell r="AO54">
            <v>0</v>
          </cell>
          <cell r="AP54">
            <v>2</v>
          </cell>
          <cell r="AQ54">
            <v>2</v>
          </cell>
          <cell r="AR54">
            <v>1</v>
          </cell>
          <cell r="AS54">
            <v>2</v>
          </cell>
          <cell r="AT54">
            <v>1</v>
          </cell>
          <cell r="AU54">
            <v>1</v>
          </cell>
          <cell r="AV54">
            <v>2</v>
          </cell>
          <cell r="AW54">
            <v>2</v>
          </cell>
          <cell r="AX54">
            <v>0</v>
          </cell>
          <cell r="AY54">
            <v>2</v>
          </cell>
          <cell r="AZ54">
            <v>0</v>
          </cell>
          <cell r="BA54">
            <v>1</v>
          </cell>
          <cell r="BB54">
            <v>2</v>
          </cell>
          <cell r="BC54">
            <v>2</v>
          </cell>
          <cell r="BD54">
            <v>0</v>
          </cell>
          <cell r="BE54">
            <v>2</v>
          </cell>
          <cell r="BF54">
            <v>2</v>
          </cell>
          <cell r="BG54">
            <v>1</v>
          </cell>
          <cell r="BH54">
            <v>2</v>
          </cell>
          <cell r="BI54">
            <v>3</v>
          </cell>
          <cell r="BJ54">
            <v>0</v>
          </cell>
          <cell r="BK54">
            <v>1</v>
          </cell>
          <cell r="BL54">
            <v>1</v>
          </cell>
          <cell r="BM54">
            <v>1</v>
          </cell>
          <cell r="BN54">
            <v>2</v>
          </cell>
          <cell r="BO54">
            <v>2</v>
          </cell>
          <cell r="BP54">
            <v>1</v>
          </cell>
          <cell r="BQ54">
            <v>0</v>
          </cell>
          <cell r="BR54">
            <v>2</v>
          </cell>
          <cell r="BS54">
            <v>3</v>
          </cell>
          <cell r="BT54">
            <v>0</v>
          </cell>
          <cell r="BU54">
            <v>0</v>
          </cell>
          <cell r="BV54">
            <v>2</v>
          </cell>
          <cell r="BW54">
            <v>1</v>
          </cell>
          <cell r="BX54">
            <v>2</v>
          </cell>
          <cell r="BY54">
            <v>0</v>
          </cell>
          <cell r="BZ54">
            <v>1</v>
          </cell>
          <cell r="CA54">
            <v>0</v>
          </cell>
          <cell r="CB54">
            <v>2</v>
          </cell>
          <cell r="CC54">
            <v>1</v>
          </cell>
          <cell r="CD54">
            <v>2</v>
          </cell>
          <cell r="CE54">
            <v>0</v>
          </cell>
          <cell r="CF54">
            <v>3</v>
          </cell>
          <cell r="CG54">
            <v>1</v>
          </cell>
          <cell r="CH54">
            <v>1</v>
          </cell>
          <cell r="CI54">
            <v>1</v>
          </cell>
          <cell r="CJ54">
            <v>2</v>
          </cell>
          <cell r="CK54">
            <v>2</v>
          </cell>
          <cell r="CL54">
            <v>1</v>
          </cell>
          <cell r="CM54">
            <v>1</v>
          </cell>
          <cell r="CN54">
            <v>2</v>
          </cell>
          <cell r="CO54">
            <v>1</v>
          </cell>
          <cell r="CP54">
            <v>2</v>
          </cell>
          <cell r="CQ54">
            <v>1</v>
          </cell>
          <cell r="CR54">
            <v>2</v>
          </cell>
          <cell r="CS54">
            <v>0</v>
          </cell>
          <cell r="CT54">
            <v>0</v>
          </cell>
          <cell r="CU54">
            <v>1</v>
          </cell>
          <cell r="CV54">
            <v>0</v>
          </cell>
          <cell r="CW54">
            <v>2</v>
          </cell>
          <cell r="CX54">
            <v>1</v>
          </cell>
          <cell r="CY54">
            <v>2</v>
          </cell>
          <cell r="CZ54">
            <v>0</v>
          </cell>
          <cell r="DA54">
            <v>2</v>
          </cell>
          <cell r="DB54">
            <v>1</v>
          </cell>
          <cell r="DC54">
            <v>2</v>
          </cell>
          <cell r="DD54">
            <v>0</v>
          </cell>
          <cell r="DE54">
            <v>1</v>
          </cell>
          <cell r="DF54">
            <v>2</v>
          </cell>
          <cell r="DG54">
            <v>3</v>
          </cell>
          <cell r="DH54">
            <v>1</v>
          </cell>
          <cell r="DI54">
            <v>2</v>
          </cell>
          <cell r="DJ54">
            <v>0</v>
          </cell>
          <cell r="DK54">
            <v>3</v>
          </cell>
          <cell r="DL54">
            <v>2</v>
          </cell>
          <cell r="DM54">
            <v>2</v>
          </cell>
          <cell r="DN54">
            <v>0</v>
          </cell>
          <cell r="DO54">
            <v>2</v>
          </cell>
          <cell r="DP54">
            <v>1</v>
          </cell>
          <cell r="DQ54">
            <v>2</v>
          </cell>
          <cell r="DR54">
            <v>2</v>
          </cell>
          <cell r="DS54">
            <v>1</v>
          </cell>
          <cell r="DT54">
            <v>2</v>
          </cell>
          <cell r="DU54">
            <v>3</v>
          </cell>
          <cell r="DV54">
            <v>2</v>
          </cell>
          <cell r="DW54">
            <v>1</v>
          </cell>
          <cell r="DX54">
            <v>2</v>
          </cell>
          <cell r="DY54">
            <v>3</v>
          </cell>
          <cell r="DZ54">
            <v>2</v>
          </cell>
        </row>
      </sheetData>
      <sheetData sheetId="10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  <cell r="AH1">
            <v>32</v>
          </cell>
          <cell r="AI1">
            <v>33</v>
          </cell>
          <cell r="AJ1">
            <v>34</v>
          </cell>
          <cell r="AK1">
            <v>35</v>
          </cell>
          <cell r="AL1">
            <v>36</v>
          </cell>
          <cell r="AM1">
            <v>37</v>
          </cell>
          <cell r="AN1">
            <v>38</v>
          </cell>
          <cell r="AO1">
            <v>39</v>
          </cell>
          <cell r="AP1">
            <v>40</v>
          </cell>
          <cell r="AQ1">
            <v>41</v>
          </cell>
          <cell r="AR1">
            <v>42</v>
          </cell>
          <cell r="AS1">
            <v>43</v>
          </cell>
          <cell r="AT1">
            <v>44</v>
          </cell>
          <cell r="AU1">
            <v>45</v>
          </cell>
          <cell r="AV1">
            <v>46</v>
          </cell>
          <cell r="AW1">
            <v>47</v>
          </cell>
          <cell r="AX1">
            <v>48</v>
          </cell>
          <cell r="AY1" t="str">
            <v>Total</v>
          </cell>
          <cell r="AZ1">
            <v>49</v>
          </cell>
          <cell r="BA1">
            <v>50</v>
          </cell>
          <cell r="BB1">
            <v>51</v>
          </cell>
          <cell r="BC1">
            <v>52</v>
          </cell>
          <cell r="BD1">
            <v>53</v>
          </cell>
          <cell r="BE1">
            <v>54</v>
          </cell>
          <cell r="BF1">
            <v>55</v>
          </cell>
          <cell r="BG1">
            <v>56</v>
          </cell>
          <cell r="BH1" t="str">
            <v>Total</v>
          </cell>
          <cell r="BI1">
            <v>57</v>
          </cell>
          <cell r="BJ1">
            <v>58</v>
          </cell>
          <cell r="BK1">
            <v>59</v>
          </cell>
          <cell r="BL1">
            <v>60</v>
          </cell>
          <cell r="BM1" t="str">
            <v>Total</v>
          </cell>
          <cell r="BN1">
            <v>61</v>
          </cell>
          <cell r="BO1">
            <v>62</v>
          </cell>
          <cell r="BP1" t="str">
            <v>Total</v>
          </cell>
          <cell r="BQ1">
            <v>63</v>
          </cell>
          <cell r="BR1" t="str">
            <v>Total</v>
          </cell>
          <cell r="BS1">
            <v>64</v>
          </cell>
          <cell r="BT1" t="str">
            <v>Total</v>
          </cell>
          <cell r="BU1" t="str">
            <v>Total</v>
          </cell>
        </row>
        <row r="2">
          <cell r="C2">
            <v>0</v>
          </cell>
          <cell r="D2">
            <v>4</v>
          </cell>
          <cell r="E2">
            <v>6</v>
          </cell>
          <cell r="F2">
            <v>0</v>
          </cell>
          <cell r="G2">
            <v>6</v>
          </cell>
          <cell r="H2">
            <v>2</v>
          </cell>
          <cell r="I2">
            <v>1</v>
          </cell>
          <cell r="J2">
            <v>7</v>
          </cell>
          <cell r="K2">
            <v>2</v>
          </cell>
          <cell r="L2">
            <v>1</v>
          </cell>
          <cell r="M2">
            <v>1</v>
          </cell>
          <cell r="N2">
            <v>9</v>
          </cell>
          <cell r="O2">
            <v>16</v>
          </cell>
          <cell r="P2">
            <v>6</v>
          </cell>
          <cell r="Q2">
            <v>4</v>
          </cell>
          <cell r="R2">
            <v>0</v>
          </cell>
          <cell r="S2">
            <v>2</v>
          </cell>
          <cell r="T2">
            <v>1</v>
          </cell>
          <cell r="U2">
            <v>2</v>
          </cell>
          <cell r="V2">
            <v>1</v>
          </cell>
          <cell r="W2">
            <v>2</v>
          </cell>
          <cell r="X2">
            <v>6</v>
          </cell>
          <cell r="Y2">
            <v>0</v>
          </cell>
          <cell r="Z2">
            <v>11</v>
          </cell>
          <cell r="AA2">
            <v>8</v>
          </cell>
          <cell r="AB2">
            <v>9</v>
          </cell>
          <cell r="AC2">
            <v>0</v>
          </cell>
          <cell r="AD2">
            <v>9</v>
          </cell>
          <cell r="AE2">
            <v>21</v>
          </cell>
          <cell r="AF2">
            <v>0</v>
          </cell>
          <cell r="AG2">
            <v>1</v>
          </cell>
          <cell r="AH2">
            <v>1</v>
          </cell>
          <cell r="AI2">
            <v>0</v>
          </cell>
          <cell r="AJ2">
            <v>3</v>
          </cell>
          <cell r="AK2">
            <v>1</v>
          </cell>
          <cell r="AL2">
            <v>1</v>
          </cell>
          <cell r="AM2">
            <v>0</v>
          </cell>
          <cell r="AN2">
            <v>5</v>
          </cell>
          <cell r="AO2">
            <v>9</v>
          </cell>
          <cell r="AP2">
            <v>17</v>
          </cell>
          <cell r="AQ2">
            <v>0</v>
          </cell>
          <cell r="AR2">
            <v>0</v>
          </cell>
          <cell r="AS2">
            <v>8</v>
          </cell>
          <cell r="AT2">
            <v>2</v>
          </cell>
          <cell r="AU2">
            <v>6</v>
          </cell>
          <cell r="AV2">
            <v>10</v>
          </cell>
          <cell r="AW2">
            <v>3</v>
          </cell>
          <cell r="AX2">
            <v>5</v>
          </cell>
          <cell r="AY2" t="str">
            <v>Puntos 1era</v>
          </cell>
          <cell r="AZ2">
            <v>0</v>
          </cell>
          <cell r="BA2">
            <v>7</v>
          </cell>
          <cell r="BB2">
            <v>2</v>
          </cell>
          <cell r="BC2">
            <v>3</v>
          </cell>
          <cell r="BD2">
            <v>9</v>
          </cell>
          <cell r="BE2">
            <v>1</v>
          </cell>
          <cell r="BF2">
            <v>1</v>
          </cell>
          <cell r="BG2">
            <v>7</v>
          </cell>
          <cell r="BH2" t="str">
            <v>Puntos</v>
          </cell>
          <cell r="BI2">
            <v>3</v>
          </cell>
          <cell r="BJ2">
            <v>0</v>
          </cell>
          <cell r="BK2">
            <v>0</v>
          </cell>
          <cell r="BL2">
            <v>7</v>
          </cell>
          <cell r="BM2" t="str">
            <v>Puntos</v>
          </cell>
          <cell r="BN2">
            <v>1</v>
          </cell>
          <cell r="BO2">
            <v>9</v>
          </cell>
          <cell r="BP2" t="str">
            <v>Puntos</v>
          </cell>
          <cell r="BQ2">
            <v>2</v>
          </cell>
          <cell r="BR2" t="str">
            <v>Puntos</v>
          </cell>
          <cell r="BS2">
            <v>0</v>
          </cell>
          <cell r="BT2" t="str">
            <v>Puntos</v>
          </cell>
          <cell r="BU2" t="str">
            <v>Puntos</v>
          </cell>
        </row>
        <row r="3">
          <cell r="C3">
            <v>1</v>
          </cell>
          <cell r="D3">
            <v>3</v>
          </cell>
          <cell r="E3">
            <v>15</v>
          </cell>
          <cell r="F3">
            <v>25</v>
          </cell>
          <cell r="G3">
            <v>0</v>
          </cell>
          <cell r="H3">
            <v>31</v>
          </cell>
          <cell r="I3">
            <v>12</v>
          </cell>
          <cell r="J3">
            <v>18</v>
          </cell>
          <cell r="K3">
            <v>26</v>
          </cell>
          <cell r="L3">
            <v>21</v>
          </cell>
          <cell r="M3">
            <v>28</v>
          </cell>
          <cell r="N3">
            <v>3</v>
          </cell>
          <cell r="O3">
            <v>1</v>
          </cell>
          <cell r="P3">
            <v>0</v>
          </cell>
          <cell r="Q3">
            <v>25</v>
          </cell>
          <cell r="R3">
            <v>42</v>
          </cell>
          <cell r="S3">
            <v>9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12</v>
          </cell>
          <cell r="Y3">
            <v>48</v>
          </cell>
          <cell r="Z3">
            <v>0</v>
          </cell>
          <cell r="AA3">
            <v>21</v>
          </cell>
          <cell r="AB3">
            <v>6</v>
          </cell>
          <cell r="AC3">
            <v>2</v>
          </cell>
          <cell r="AD3">
            <v>0</v>
          </cell>
          <cell r="AE3">
            <v>3</v>
          </cell>
          <cell r="AF3">
            <v>1</v>
          </cell>
          <cell r="AG3">
            <v>9</v>
          </cell>
          <cell r="AH3">
            <v>17</v>
          </cell>
          <cell r="AI3">
            <v>20</v>
          </cell>
          <cell r="AJ3">
            <v>32</v>
          </cell>
          <cell r="AK3">
            <v>30</v>
          </cell>
          <cell r="AL3">
            <v>29</v>
          </cell>
          <cell r="AM3">
            <v>26</v>
          </cell>
          <cell r="AN3">
            <v>9</v>
          </cell>
          <cell r="AO3">
            <v>6</v>
          </cell>
          <cell r="AP3">
            <v>1</v>
          </cell>
          <cell r="AQ3">
            <v>50</v>
          </cell>
          <cell r="AR3">
            <v>39</v>
          </cell>
          <cell r="AS3">
            <v>0</v>
          </cell>
          <cell r="AT3">
            <v>9</v>
          </cell>
          <cell r="AU3">
            <v>3</v>
          </cell>
          <cell r="AV3">
            <v>3</v>
          </cell>
          <cell r="AW3">
            <v>20</v>
          </cell>
          <cell r="AX3">
            <v>14</v>
          </cell>
          <cell r="AY3" t="str">
            <v>Fase</v>
          </cell>
          <cell r="AZ3">
            <v>9</v>
          </cell>
          <cell r="BA3">
            <v>16</v>
          </cell>
          <cell r="BB3">
            <v>26</v>
          </cell>
          <cell r="BC3">
            <v>14</v>
          </cell>
          <cell r="BD3">
            <v>0</v>
          </cell>
          <cell r="BE3">
            <v>7</v>
          </cell>
          <cell r="BF3">
            <v>0</v>
          </cell>
          <cell r="BG3">
            <v>3</v>
          </cell>
          <cell r="BH3" t="str">
            <v>Octavos</v>
          </cell>
          <cell r="BI3">
            <v>15</v>
          </cell>
          <cell r="BJ3">
            <v>37</v>
          </cell>
          <cell r="BK3">
            <v>44</v>
          </cell>
          <cell r="BL3">
            <v>10</v>
          </cell>
          <cell r="BM3" t="str">
            <v>Cuartos</v>
          </cell>
          <cell r="BN3">
            <v>16</v>
          </cell>
          <cell r="BO3">
            <v>10</v>
          </cell>
          <cell r="BP3" t="str">
            <v>Semifinales</v>
          </cell>
          <cell r="BQ3">
            <v>33</v>
          </cell>
          <cell r="BR3" t="str">
            <v>3er Lugar</v>
          </cell>
          <cell r="BS3">
            <v>14</v>
          </cell>
          <cell r="BT3" t="str">
            <v>1er Lugar</v>
          </cell>
          <cell r="BU3" t="str">
            <v>Marcadores</v>
          </cell>
        </row>
        <row r="4">
          <cell r="C4">
            <v>23</v>
          </cell>
          <cell r="D4">
            <v>15</v>
          </cell>
          <cell r="E4">
            <v>15</v>
          </cell>
          <cell r="F4">
            <v>15</v>
          </cell>
          <cell r="G4">
            <v>25</v>
          </cell>
          <cell r="H4">
            <v>0</v>
          </cell>
          <cell r="I4">
            <v>0</v>
          </cell>
          <cell r="J4">
            <v>15</v>
          </cell>
          <cell r="K4">
            <v>0</v>
          </cell>
          <cell r="L4">
            <v>0</v>
          </cell>
          <cell r="M4">
            <v>8</v>
          </cell>
          <cell r="N4">
            <v>15</v>
          </cell>
          <cell r="O4">
            <v>23</v>
          </cell>
          <cell r="P4">
            <v>15</v>
          </cell>
          <cell r="Q4">
            <v>8</v>
          </cell>
          <cell r="R4">
            <v>0</v>
          </cell>
          <cell r="S4">
            <v>8</v>
          </cell>
          <cell r="T4">
            <v>23</v>
          </cell>
          <cell r="U4">
            <v>15</v>
          </cell>
          <cell r="V4">
            <v>15</v>
          </cell>
          <cell r="W4">
            <v>8</v>
          </cell>
          <cell r="X4">
            <v>15</v>
          </cell>
          <cell r="Y4">
            <v>0</v>
          </cell>
          <cell r="Z4">
            <v>23</v>
          </cell>
          <cell r="AA4">
            <v>8</v>
          </cell>
          <cell r="AB4">
            <v>15</v>
          </cell>
          <cell r="AC4">
            <v>15</v>
          </cell>
          <cell r="AD4">
            <v>23</v>
          </cell>
          <cell r="AE4">
            <v>23</v>
          </cell>
          <cell r="AF4">
            <v>15</v>
          </cell>
          <cell r="AG4">
            <v>15</v>
          </cell>
          <cell r="AH4">
            <v>15</v>
          </cell>
          <cell r="AI4">
            <v>15</v>
          </cell>
          <cell r="AJ4">
            <v>8</v>
          </cell>
          <cell r="AK4">
            <v>8</v>
          </cell>
          <cell r="AL4">
            <v>0</v>
          </cell>
          <cell r="AM4">
            <v>8</v>
          </cell>
          <cell r="AN4">
            <v>23</v>
          </cell>
          <cell r="AO4">
            <v>23</v>
          </cell>
          <cell r="AP4">
            <v>25</v>
          </cell>
          <cell r="AQ4">
            <v>0</v>
          </cell>
          <cell r="AR4">
            <v>23</v>
          </cell>
          <cell r="AS4">
            <v>23</v>
          </cell>
          <cell r="AT4">
            <v>8</v>
          </cell>
          <cell r="AU4">
            <v>8</v>
          </cell>
          <cell r="AV4">
            <v>23</v>
          </cell>
          <cell r="AW4">
            <v>8</v>
          </cell>
          <cell r="AX4">
            <v>8</v>
          </cell>
          <cell r="AY4">
            <v>624</v>
          </cell>
          <cell r="AZ4">
            <v>0</v>
          </cell>
          <cell r="BA4">
            <v>0</v>
          </cell>
          <cell r="BB4">
            <v>11</v>
          </cell>
          <cell r="BC4">
            <v>11</v>
          </cell>
          <cell r="BD4">
            <v>32</v>
          </cell>
          <cell r="BE4">
            <v>21</v>
          </cell>
          <cell r="BF4">
            <v>21</v>
          </cell>
          <cell r="BG4">
            <v>0</v>
          </cell>
          <cell r="BH4">
            <v>96</v>
          </cell>
          <cell r="BI4">
            <v>12</v>
          </cell>
          <cell r="BJ4">
            <v>12</v>
          </cell>
          <cell r="BK4">
            <v>0</v>
          </cell>
          <cell r="BL4">
            <v>12</v>
          </cell>
          <cell r="BM4">
            <v>36</v>
          </cell>
          <cell r="BN4">
            <v>36</v>
          </cell>
          <cell r="BO4">
            <v>60</v>
          </cell>
          <cell r="BP4">
            <v>96</v>
          </cell>
          <cell r="BQ4">
            <v>63</v>
          </cell>
          <cell r="BR4">
            <v>63</v>
          </cell>
          <cell r="BS4">
            <v>0</v>
          </cell>
          <cell r="BT4">
            <v>0</v>
          </cell>
          <cell r="BU4">
            <v>915</v>
          </cell>
        </row>
        <row r="5">
          <cell r="C5">
            <v>15</v>
          </cell>
          <cell r="D5">
            <v>15</v>
          </cell>
          <cell r="E5">
            <v>23</v>
          </cell>
          <cell r="F5">
            <v>8</v>
          </cell>
          <cell r="G5">
            <v>15</v>
          </cell>
          <cell r="H5">
            <v>8</v>
          </cell>
          <cell r="I5">
            <v>8</v>
          </cell>
          <cell r="J5">
            <v>23</v>
          </cell>
          <cell r="K5">
            <v>8</v>
          </cell>
          <cell r="L5">
            <v>0</v>
          </cell>
          <cell r="M5">
            <v>0</v>
          </cell>
          <cell r="N5">
            <v>15</v>
          </cell>
          <cell r="O5">
            <v>25</v>
          </cell>
          <cell r="P5">
            <v>15</v>
          </cell>
          <cell r="Q5">
            <v>8</v>
          </cell>
          <cell r="R5">
            <v>0</v>
          </cell>
          <cell r="S5">
            <v>0</v>
          </cell>
          <cell r="T5">
            <v>15</v>
          </cell>
          <cell r="U5">
            <v>23</v>
          </cell>
          <cell r="V5">
            <v>15</v>
          </cell>
          <cell r="W5">
            <v>8</v>
          </cell>
          <cell r="X5">
            <v>0</v>
          </cell>
          <cell r="Y5">
            <v>0</v>
          </cell>
          <cell r="Z5">
            <v>23</v>
          </cell>
          <cell r="AA5">
            <v>0</v>
          </cell>
          <cell r="AB5">
            <v>8</v>
          </cell>
          <cell r="AC5">
            <v>15</v>
          </cell>
          <cell r="AD5">
            <v>23</v>
          </cell>
          <cell r="AE5">
            <v>23</v>
          </cell>
          <cell r="AF5">
            <v>23</v>
          </cell>
          <cell r="AG5">
            <v>8</v>
          </cell>
          <cell r="AH5">
            <v>23</v>
          </cell>
          <cell r="AI5">
            <v>15</v>
          </cell>
          <cell r="AJ5">
            <v>0</v>
          </cell>
          <cell r="AK5">
            <v>0</v>
          </cell>
          <cell r="AL5">
            <v>8</v>
          </cell>
          <cell r="AM5">
            <v>0</v>
          </cell>
          <cell r="AN5">
            <v>23</v>
          </cell>
          <cell r="AO5">
            <v>15</v>
          </cell>
          <cell r="AP5">
            <v>8</v>
          </cell>
          <cell r="AQ5">
            <v>0</v>
          </cell>
          <cell r="AR5">
            <v>0</v>
          </cell>
          <cell r="AS5">
            <v>23</v>
          </cell>
          <cell r="AT5">
            <v>8</v>
          </cell>
          <cell r="AU5">
            <v>8</v>
          </cell>
          <cell r="AV5">
            <v>0</v>
          </cell>
          <cell r="AW5">
            <v>15</v>
          </cell>
          <cell r="AX5">
            <v>0</v>
          </cell>
          <cell r="AY5">
            <v>516</v>
          </cell>
          <cell r="AZ5">
            <v>21</v>
          </cell>
          <cell r="BA5">
            <v>32</v>
          </cell>
          <cell r="BB5">
            <v>0</v>
          </cell>
          <cell r="BC5">
            <v>11</v>
          </cell>
          <cell r="BD5">
            <v>21</v>
          </cell>
          <cell r="BE5">
            <v>21</v>
          </cell>
          <cell r="BF5">
            <v>32</v>
          </cell>
          <cell r="BG5">
            <v>21</v>
          </cell>
          <cell r="BH5">
            <v>159</v>
          </cell>
          <cell r="BI5">
            <v>0</v>
          </cell>
          <cell r="BJ5">
            <v>0</v>
          </cell>
          <cell r="BK5">
            <v>0</v>
          </cell>
          <cell r="BL5">
            <v>12</v>
          </cell>
          <cell r="BM5">
            <v>12</v>
          </cell>
          <cell r="BN5">
            <v>18</v>
          </cell>
          <cell r="BO5">
            <v>18</v>
          </cell>
          <cell r="BP5">
            <v>36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723</v>
          </cell>
        </row>
        <row r="6">
          <cell r="C6">
            <v>23</v>
          </cell>
          <cell r="D6">
            <v>25</v>
          </cell>
          <cell r="E6">
            <v>8</v>
          </cell>
          <cell r="F6">
            <v>8</v>
          </cell>
          <cell r="G6">
            <v>25</v>
          </cell>
          <cell r="H6">
            <v>0</v>
          </cell>
          <cell r="I6">
            <v>8</v>
          </cell>
          <cell r="J6">
            <v>23</v>
          </cell>
          <cell r="K6">
            <v>0</v>
          </cell>
          <cell r="L6">
            <v>8</v>
          </cell>
          <cell r="M6">
            <v>0</v>
          </cell>
          <cell r="N6">
            <v>8</v>
          </cell>
          <cell r="O6">
            <v>23</v>
          </cell>
          <cell r="P6">
            <v>15</v>
          </cell>
          <cell r="Q6">
            <v>0</v>
          </cell>
          <cell r="R6">
            <v>8</v>
          </cell>
          <cell r="S6">
            <v>8</v>
          </cell>
          <cell r="T6">
            <v>23</v>
          </cell>
          <cell r="U6">
            <v>23</v>
          </cell>
          <cell r="V6">
            <v>23</v>
          </cell>
          <cell r="W6">
            <v>8</v>
          </cell>
          <cell r="X6">
            <v>15</v>
          </cell>
          <cell r="Y6">
            <v>0</v>
          </cell>
          <cell r="Z6">
            <v>15</v>
          </cell>
          <cell r="AA6">
            <v>0</v>
          </cell>
          <cell r="AB6">
            <v>15</v>
          </cell>
          <cell r="AC6">
            <v>15</v>
          </cell>
          <cell r="AD6">
            <v>23</v>
          </cell>
          <cell r="AE6">
            <v>25</v>
          </cell>
          <cell r="AF6">
            <v>23</v>
          </cell>
          <cell r="AG6">
            <v>15</v>
          </cell>
          <cell r="AH6">
            <v>0</v>
          </cell>
          <cell r="AI6">
            <v>23</v>
          </cell>
          <cell r="AJ6">
            <v>0</v>
          </cell>
          <cell r="AK6">
            <v>8</v>
          </cell>
          <cell r="AL6">
            <v>8</v>
          </cell>
          <cell r="AM6">
            <v>8</v>
          </cell>
          <cell r="AN6">
            <v>23</v>
          </cell>
          <cell r="AO6">
            <v>8</v>
          </cell>
          <cell r="AP6">
            <v>23</v>
          </cell>
          <cell r="AQ6">
            <v>0</v>
          </cell>
          <cell r="AR6">
            <v>0</v>
          </cell>
          <cell r="AS6">
            <v>23</v>
          </cell>
          <cell r="AT6">
            <v>15</v>
          </cell>
          <cell r="AU6">
            <v>15</v>
          </cell>
          <cell r="AV6">
            <v>15</v>
          </cell>
          <cell r="AW6">
            <v>25</v>
          </cell>
          <cell r="AX6">
            <v>8</v>
          </cell>
          <cell r="AY6">
            <v>615</v>
          </cell>
          <cell r="AZ6">
            <v>21</v>
          </cell>
          <cell r="BA6">
            <v>0</v>
          </cell>
          <cell r="BB6">
            <v>11</v>
          </cell>
          <cell r="BC6">
            <v>11</v>
          </cell>
          <cell r="BD6">
            <v>21</v>
          </cell>
          <cell r="BE6">
            <v>11</v>
          </cell>
          <cell r="BF6">
            <v>32</v>
          </cell>
          <cell r="BG6">
            <v>11</v>
          </cell>
          <cell r="BH6">
            <v>118</v>
          </cell>
          <cell r="BI6">
            <v>24</v>
          </cell>
          <cell r="BJ6">
            <v>0</v>
          </cell>
          <cell r="BK6">
            <v>0</v>
          </cell>
          <cell r="BL6">
            <v>12</v>
          </cell>
          <cell r="BM6">
            <v>36</v>
          </cell>
          <cell r="BN6">
            <v>18</v>
          </cell>
          <cell r="BO6">
            <v>18</v>
          </cell>
          <cell r="BP6">
            <v>36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805</v>
          </cell>
        </row>
        <row r="7">
          <cell r="C7">
            <v>15</v>
          </cell>
          <cell r="D7">
            <v>25</v>
          </cell>
          <cell r="E7">
            <v>15</v>
          </cell>
          <cell r="F7">
            <v>8</v>
          </cell>
          <cell r="G7">
            <v>15</v>
          </cell>
          <cell r="H7">
            <v>0</v>
          </cell>
          <cell r="I7">
            <v>8</v>
          </cell>
          <cell r="J7">
            <v>0</v>
          </cell>
          <cell r="K7">
            <v>8</v>
          </cell>
          <cell r="L7">
            <v>8</v>
          </cell>
          <cell r="M7">
            <v>0</v>
          </cell>
          <cell r="N7">
            <v>25</v>
          </cell>
          <cell r="O7">
            <v>23</v>
          </cell>
          <cell r="P7">
            <v>25</v>
          </cell>
          <cell r="Q7">
            <v>0</v>
          </cell>
          <cell r="R7">
            <v>0</v>
          </cell>
          <cell r="S7">
            <v>25</v>
          </cell>
          <cell r="T7">
            <v>23</v>
          </cell>
          <cell r="U7">
            <v>8</v>
          </cell>
          <cell r="V7">
            <v>15</v>
          </cell>
          <cell r="W7">
            <v>15</v>
          </cell>
          <cell r="X7">
            <v>25</v>
          </cell>
          <cell r="Y7">
            <v>0</v>
          </cell>
          <cell r="Z7">
            <v>23</v>
          </cell>
          <cell r="AA7">
            <v>15</v>
          </cell>
          <cell r="AB7">
            <v>15</v>
          </cell>
          <cell r="AC7">
            <v>15</v>
          </cell>
          <cell r="AD7">
            <v>23</v>
          </cell>
          <cell r="AE7">
            <v>8</v>
          </cell>
          <cell r="AF7">
            <v>23</v>
          </cell>
          <cell r="AG7">
            <v>0</v>
          </cell>
          <cell r="AH7">
            <v>15</v>
          </cell>
          <cell r="AI7">
            <v>23</v>
          </cell>
          <cell r="AJ7">
            <v>25</v>
          </cell>
          <cell r="AK7">
            <v>0</v>
          </cell>
          <cell r="AL7">
            <v>8</v>
          </cell>
          <cell r="AM7">
            <v>0</v>
          </cell>
          <cell r="AN7">
            <v>23</v>
          </cell>
          <cell r="AO7">
            <v>15</v>
          </cell>
          <cell r="AP7">
            <v>8</v>
          </cell>
          <cell r="AQ7">
            <v>0</v>
          </cell>
          <cell r="AR7">
            <v>0</v>
          </cell>
          <cell r="AS7">
            <v>25</v>
          </cell>
          <cell r="AT7">
            <v>15</v>
          </cell>
          <cell r="AU7">
            <v>15</v>
          </cell>
          <cell r="AV7">
            <v>15</v>
          </cell>
          <cell r="AW7">
            <v>8</v>
          </cell>
          <cell r="AX7">
            <v>8</v>
          </cell>
          <cell r="AY7">
            <v>611</v>
          </cell>
          <cell r="AZ7">
            <v>21</v>
          </cell>
          <cell r="BA7">
            <v>0</v>
          </cell>
          <cell r="BB7">
            <v>0</v>
          </cell>
          <cell r="BC7">
            <v>11</v>
          </cell>
          <cell r="BD7">
            <v>21</v>
          </cell>
          <cell r="BE7">
            <v>21</v>
          </cell>
          <cell r="BF7">
            <v>32</v>
          </cell>
          <cell r="BG7">
            <v>11</v>
          </cell>
          <cell r="BH7">
            <v>117</v>
          </cell>
          <cell r="BI7">
            <v>36</v>
          </cell>
          <cell r="BJ7">
            <v>0</v>
          </cell>
          <cell r="BK7">
            <v>0</v>
          </cell>
          <cell r="BL7">
            <v>12</v>
          </cell>
          <cell r="BM7">
            <v>48</v>
          </cell>
          <cell r="BN7">
            <v>18</v>
          </cell>
          <cell r="BO7">
            <v>18</v>
          </cell>
          <cell r="BP7">
            <v>36</v>
          </cell>
          <cell r="BQ7">
            <v>0</v>
          </cell>
          <cell r="BR7">
            <v>0</v>
          </cell>
          <cell r="BS7">
            <v>48</v>
          </cell>
          <cell r="BT7">
            <v>48</v>
          </cell>
          <cell r="BU7">
            <v>860</v>
          </cell>
        </row>
        <row r="8">
          <cell r="C8">
            <v>15</v>
          </cell>
          <cell r="D8">
            <v>15</v>
          </cell>
          <cell r="E8">
            <v>8</v>
          </cell>
          <cell r="F8">
            <v>0</v>
          </cell>
          <cell r="G8">
            <v>23</v>
          </cell>
          <cell r="H8">
            <v>0</v>
          </cell>
          <cell r="I8">
            <v>0</v>
          </cell>
          <cell r="J8">
            <v>25</v>
          </cell>
          <cell r="K8">
            <v>8</v>
          </cell>
          <cell r="L8">
            <v>8</v>
          </cell>
          <cell r="M8">
            <v>0</v>
          </cell>
          <cell r="N8">
            <v>23</v>
          </cell>
          <cell r="O8">
            <v>23</v>
          </cell>
          <cell r="P8">
            <v>15</v>
          </cell>
          <cell r="Q8">
            <v>0</v>
          </cell>
          <cell r="R8">
            <v>0</v>
          </cell>
          <cell r="S8">
            <v>8</v>
          </cell>
          <cell r="T8">
            <v>23</v>
          </cell>
          <cell r="U8">
            <v>23</v>
          </cell>
          <cell r="V8">
            <v>23</v>
          </cell>
          <cell r="W8">
            <v>8</v>
          </cell>
          <cell r="X8">
            <v>0</v>
          </cell>
          <cell r="Y8">
            <v>0</v>
          </cell>
          <cell r="Z8">
            <v>23</v>
          </cell>
          <cell r="AA8">
            <v>23</v>
          </cell>
          <cell r="AB8">
            <v>8</v>
          </cell>
          <cell r="AC8">
            <v>15</v>
          </cell>
          <cell r="AD8">
            <v>23</v>
          </cell>
          <cell r="AE8">
            <v>8</v>
          </cell>
          <cell r="AF8">
            <v>23</v>
          </cell>
          <cell r="AG8">
            <v>15</v>
          </cell>
          <cell r="AH8">
            <v>23</v>
          </cell>
          <cell r="AI8">
            <v>15</v>
          </cell>
          <cell r="AJ8">
            <v>8</v>
          </cell>
          <cell r="AK8">
            <v>8</v>
          </cell>
          <cell r="AL8">
            <v>8</v>
          </cell>
          <cell r="AM8">
            <v>0</v>
          </cell>
          <cell r="AN8">
            <v>23</v>
          </cell>
          <cell r="AO8">
            <v>25</v>
          </cell>
          <cell r="AP8">
            <v>8</v>
          </cell>
          <cell r="AQ8">
            <v>0</v>
          </cell>
          <cell r="AR8">
            <v>0</v>
          </cell>
          <cell r="AS8">
            <v>15</v>
          </cell>
          <cell r="AT8">
            <v>8</v>
          </cell>
          <cell r="AU8">
            <v>15</v>
          </cell>
          <cell r="AV8">
            <v>15</v>
          </cell>
          <cell r="AW8">
            <v>0</v>
          </cell>
          <cell r="AX8">
            <v>8</v>
          </cell>
          <cell r="AY8">
            <v>565</v>
          </cell>
          <cell r="AZ8">
            <v>21</v>
          </cell>
          <cell r="BA8">
            <v>0</v>
          </cell>
          <cell r="BB8">
            <v>11</v>
          </cell>
          <cell r="BC8">
            <v>0</v>
          </cell>
          <cell r="BD8">
            <v>21</v>
          </cell>
          <cell r="BE8">
            <v>21</v>
          </cell>
          <cell r="BF8">
            <v>32</v>
          </cell>
          <cell r="BG8">
            <v>11</v>
          </cell>
          <cell r="BH8">
            <v>117</v>
          </cell>
          <cell r="BI8">
            <v>36</v>
          </cell>
          <cell r="BJ8">
            <v>0</v>
          </cell>
          <cell r="BK8">
            <v>0</v>
          </cell>
          <cell r="BL8">
            <v>12</v>
          </cell>
          <cell r="BM8">
            <v>48</v>
          </cell>
          <cell r="BN8">
            <v>18</v>
          </cell>
          <cell r="BO8">
            <v>0</v>
          </cell>
          <cell r="BP8">
            <v>18</v>
          </cell>
          <cell r="BQ8">
            <v>63</v>
          </cell>
          <cell r="BR8">
            <v>63</v>
          </cell>
          <cell r="BS8">
            <v>24</v>
          </cell>
          <cell r="BT8">
            <v>24</v>
          </cell>
          <cell r="BU8">
            <v>835</v>
          </cell>
        </row>
        <row r="9">
          <cell r="C9">
            <v>15</v>
          </cell>
          <cell r="D9">
            <v>23</v>
          </cell>
          <cell r="E9">
            <v>8</v>
          </cell>
          <cell r="F9">
            <v>8</v>
          </cell>
          <cell r="G9">
            <v>15</v>
          </cell>
          <cell r="H9">
            <v>8</v>
          </cell>
          <cell r="I9">
            <v>8</v>
          </cell>
          <cell r="J9">
            <v>8</v>
          </cell>
          <cell r="K9">
            <v>15</v>
          </cell>
          <cell r="L9">
            <v>0</v>
          </cell>
          <cell r="M9">
            <v>0</v>
          </cell>
          <cell r="N9">
            <v>8</v>
          </cell>
          <cell r="O9">
            <v>25</v>
          </cell>
          <cell r="P9">
            <v>23</v>
          </cell>
          <cell r="Q9">
            <v>0</v>
          </cell>
          <cell r="R9">
            <v>0</v>
          </cell>
          <cell r="S9">
            <v>8</v>
          </cell>
          <cell r="T9">
            <v>23</v>
          </cell>
          <cell r="U9">
            <v>15</v>
          </cell>
          <cell r="V9">
            <v>15</v>
          </cell>
          <cell r="W9">
            <v>23</v>
          </cell>
          <cell r="X9">
            <v>8</v>
          </cell>
          <cell r="Y9">
            <v>0</v>
          </cell>
          <cell r="Z9">
            <v>23</v>
          </cell>
          <cell r="AA9">
            <v>0</v>
          </cell>
          <cell r="AB9">
            <v>25</v>
          </cell>
          <cell r="AC9">
            <v>15</v>
          </cell>
          <cell r="AD9">
            <v>25</v>
          </cell>
          <cell r="AE9">
            <v>0</v>
          </cell>
          <cell r="AF9">
            <v>23</v>
          </cell>
          <cell r="AG9">
            <v>15</v>
          </cell>
          <cell r="AH9">
            <v>15</v>
          </cell>
          <cell r="AI9">
            <v>23</v>
          </cell>
          <cell r="AJ9">
            <v>25</v>
          </cell>
          <cell r="AK9">
            <v>8</v>
          </cell>
          <cell r="AL9">
            <v>8</v>
          </cell>
          <cell r="AM9">
            <v>0</v>
          </cell>
          <cell r="AN9">
            <v>23</v>
          </cell>
          <cell r="AO9">
            <v>8</v>
          </cell>
          <cell r="AP9">
            <v>25</v>
          </cell>
          <cell r="AQ9">
            <v>0</v>
          </cell>
          <cell r="AR9">
            <v>0</v>
          </cell>
          <cell r="AS9">
            <v>23</v>
          </cell>
          <cell r="AT9">
            <v>8</v>
          </cell>
          <cell r="AU9">
            <v>25</v>
          </cell>
          <cell r="AV9">
            <v>15</v>
          </cell>
          <cell r="AW9">
            <v>0</v>
          </cell>
          <cell r="AX9">
            <v>8</v>
          </cell>
          <cell r="AY9">
            <v>596</v>
          </cell>
          <cell r="AZ9">
            <v>21</v>
          </cell>
          <cell r="BA9">
            <v>35</v>
          </cell>
          <cell r="BB9">
            <v>0</v>
          </cell>
          <cell r="BC9">
            <v>11</v>
          </cell>
          <cell r="BD9">
            <v>32</v>
          </cell>
          <cell r="BE9">
            <v>21</v>
          </cell>
          <cell r="BF9">
            <v>21</v>
          </cell>
          <cell r="BG9">
            <v>11</v>
          </cell>
          <cell r="BH9">
            <v>152</v>
          </cell>
          <cell r="BI9">
            <v>36</v>
          </cell>
          <cell r="BJ9">
            <v>0</v>
          </cell>
          <cell r="BK9">
            <v>0</v>
          </cell>
          <cell r="BL9">
            <v>12</v>
          </cell>
          <cell r="BM9">
            <v>48</v>
          </cell>
          <cell r="BN9">
            <v>0</v>
          </cell>
          <cell r="BO9">
            <v>18</v>
          </cell>
          <cell r="BP9">
            <v>18</v>
          </cell>
          <cell r="BQ9">
            <v>63</v>
          </cell>
          <cell r="BR9">
            <v>63</v>
          </cell>
          <cell r="BS9">
            <v>72</v>
          </cell>
          <cell r="BT9">
            <v>72</v>
          </cell>
          <cell r="BU9">
            <v>949</v>
          </cell>
        </row>
        <row r="10">
          <cell r="C10">
            <v>15</v>
          </cell>
          <cell r="D10">
            <v>15</v>
          </cell>
          <cell r="E10">
            <v>25</v>
          </cell>
          <cell r="F10">
            <v>0</v>
          </cell>
          <cell r="G10">
            <v>15</v>
          </cell>
          <cell r="H10">
            <v>0</v>
          </cell>
          <cell r="I10">
            <v>15</v>
          </cell>
          <cell r="J10">
            <v>23</v>
          </cell>
          <cell r="K10">
            <v>23</v>
          </cell>
          <cell r="L10">
            <v>0</v>
          </cell>
          <cell r="M10">
            <v>8</v>
          </cell>
          <cell r="N10">
            <v>23</v>
          </cell>
          <cell r="O10">
            <v>23</v>
          </cell>
          <cell r="P10">
            <v>15</v>
          </cell>
          <cell r="Q10">
            <v>0</v>
          </cell>
          <cell r="R10">
            <v>8</v>
          </cell>
          <cell r="S10">
            <v>23</v>
          </cell>
          <cell r="T10">
            <v>23</v>
          </cell>
          <cell r="U10">
            <v>23</v>
          </cell>
          <cell r="V10">
            <v>23</v>
          </cell>
          <cell r="W10">
            <v>15</v>
          </cell>
          <cell r="X10">
            <v>0</v>
          </cell>
          <cell r="Y10">
            <v>0</v>
          </cell>
          <cell r="Z10">
            <v>23</v>
          </cell>
          <cell r="AA10">
            <v>25</v>
          </cell>
          <cell r="AB10">
            <v>0</v>
          </cell>
          <cell r="AC10">
            <v>15</v>
          </cell>
          <cell r="AD10">
            <v>23</v>
          </cell>
          <cell r="AE10">
            <v>8</v>
          </cell>
          <cell r="AF10">
            <v>15</v>
          </cell>
          <cell r="AG10">
            <v>15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23</v>
          </cell>
          <cell r="AO10">
            <v>23</v>
          </cell>
          <cell r="AP10">
            <v>25</v>
          </cell>
          <cell r="AQ10">
            <v>0</v>
          </cell>
          <cell r="AR10">
            <v>15</v>
          </cell>
          <cell r="AS10">
            <v>23</v>
          </cell>
          <cell r="AT10">
            <v>8</v>
          </cell>
          <cell r="AU10">
            <v>15</v>
          </cell>
          <cell r="AV10">
            <v>15</v>
          </cell>
          <cell r="AW10">
            <v>0</v>
          </cell>
          <cell r="AX10">
            <v>8</v>
          </cell>
          <cell r="AY10">
            <v>594</v>
          </cell>
          <cell r="AZ10">
            <v>21</v>
          </cell>
          <cell r="BA10">
            <v>11</v>
          </cell>
          <cell r="BB10">
            <v>0</v>
          </cell>
          <cell r="BC10">
            <v>11</v>
          </cell>
          <cell r="BD10">
            <v>35</v>
          </cell>
          <cell r="BE10">
            <v>32</v>
          </cell>
          <cell r="BF10">
            <v>21</v>
          </cell>
          <cell r="BG10">
            <v>11</v>
          </cell>
          <cell r="BH10">
            <v>142</v>
          </cell>
          <cell r="BI10">
            <v>36</v>
          </cell>
          <cell r="BJ10">
            <v>12</v>
          </cell>
          <cell r="BK10">
            <v>0</v>
          </cell>
          <cell r="BL10">
            <v>0</v>
          </cell>
          <cell r="BM10">
            <v>48</v>
          </cell>
          <cell r="BN10">
            <v>18</v>
          </cell>
          <cell r="BO10">
            <v>60</v>
          </cell>
          <cell r="BP10">
            <v>78</v>
          </cell>
          <cell r="BQ10">
            <v>0</v>
          </cell>
          <cell r="BR10">
            <v>0</v>
          </cell>
          <cell r="BS10">
            <v>24</v>
          </cell>
          <cell r="BT10">
            <v>24</v>
          </cell>
          <cell r="BU10">
            <v>886</v>
          </cell>
        </row>
        <row r="11">
          <cell r="C11">
            <v>23</v>
          </cell>
          <cell r="D11">
            <v>15</v>
          </cell>
          <cell r="E11">
            <v>8</v>
          </cell>
          <cell r="F11">
            <v>0</v>
          </cell>
          <cell r="G11">
            <v>15</v>
          </cell>
          <cell r="H11">
            <v>0</v>
          </cell>
          <cell r="I11">
            <v>8</v>
          </cell>
          <cell r="J11">
            <v>23</v>
          </cell>
          <cell r="K11">
            <v>23</v>
          </cell>
          <cell r="L11">
            <v>8</v>
          </cell>
          <cell r="M11">
            <v>0</v>
          </cell>
          <cell r="N11">
            <v>8</v>
          </cell>
          <cell r="O11">
            <v>25</v>
          </cell>
          <cell r="P11">
            <v>23</v>
          </cell>
          <cell r="Q11">
            <v>8</v>
          </cell>
          <cell r="R11">
            <v>0</v>
          </cell>
          <cell r="S11">
            <v>15</v>
          </cell>
          <cell r="T11">
            <v>23</v>
          </cell>
          <cell r="U11">
            <v>23</v>
          </cell>
          <cell r="V11">
            <v>23</v>
          </cell>
          <cell r="W11">
            <v>15</v>
          </cell>
          <cell r="X11">
            <v>8</v>
          </cell>
          <cell r="Y11">
            <v>0</v>
          </cell>
          <cell r="Z11">
            <v>23</v>
          </cell>
          <cell r="AA11">
            <v>8</v>
          </cell>
          <cell r="AB11">
            <v>8</v>
          </cell>
          <cell r="AC11">
            <v>15</v>
          </cell>
          <cell r="AD11">
            <v>23</v>
          </cell>
          <cell r="AE11">
            <v>25</v>
          </cell>
          <cell r="AF11">
            <v>15</v>
          </cell>
          <cell r="AG11">
            <v>15</v>
          </cell>
          <cell r="AH11">
            <v>15</v>
          </cell>
          <cell r="AI11">
            <v>0</v>
          </cell>
          <cell r="AJ11">
            <v>0</v>
          </cell>
          <cell r="AK11">
            <v>8</v>
          </cell>
          <cell r="AL11">
            <v>0</v>
          </cell>
          <cell r="AM11">
            <v>8</v>
          </cell>
          <cell r="AN11">
            <v>23</v>
          </cell>
          <cell r="AO11">
            <v>23</v>
          </cell>
          <cell r="AP11">
            <v>25</v>
          </cell>
          <cell r="AQ11">
            <v>0</v>
          </cell>
          <cell r="AR11">
            <v>0</v>
          </cell>
          <cell r="AS11">
            <v>23</v>
          </cell>
          <cell r="AT11">
            <v>0</v>
          </cell>
          <cell r="AU11">
            <v>23</v>
          </cell>
          <cell r="AV11">
            <v>15</v>
          </cell>
          <cell r="AW11">
            <v>8</v>
          </cell>
          <cell r="AX11">
            <v>15</v>
          </cell>
          <cell r="AY11">
            <v>612</v>
          </cell>
          <cell r="AZ11">
            <v>21</v>
          </cell>
          <cell r="BA11">
            <v>0</v>
          </cell>
          <cell r="BB11">
            <v>0</v>
          </cell>
          <cell r="BC11">
            <v>11</v>
          </cell>
          <cell r="BD11">
            <v>21</v>
          </cell>
          <cell r="BE11">
            <v>21</v>
          </cell>
          <cell r="BF11">
            <v>32</v>
          </cell>
          <cell r="BG11">
            <v>11</v>
          </cell>
          <cell r="BH11">
            <v>117</v>
          </cell>
          <cell r="BI11">
            <v>0</v>
          </cell>
          <cell r="BJ11">
            <v>0</v>
          </cell>
          <cell r="BK11">
            <v>0</v>
          </cell>
          <cell r="BL11">
            <v>12</v>
          </cell>
          <cell r="BM11">
            <v>12</v>
          </cell>
          <cell r="BN11">
            <v>0</v>
          </cell>
          <cell r="BO11">
            <v>18</v>
          </cell>
          <cell r="BP11">
            <v>18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759</v>
          </cell>
        </row>
        <row r="12">
          <cell r="C12">
            <v>23</v>
          </cell>
          <cell r="D12">
            <v>8</v>
          </cell>
          <cell r="E12">
            <v>8</v>
          </cell>
          <cell r="F12">
            <v>0</v>
          </cell>
          <cell r="G12">
            <v>23</v>
          </cell>
          <cell r="H12">
            <v>0</v>
          </cell>
          <cell r="I12">
            <v>8</v>
          </cell>
          <cell r="J12">
            <v>0</v>
          </cell>
          <cell r="K12">
            <v>23</v>
          </cell>
          <cell r="L12">
            <v>0</v>
          </cell>
          <cell r="M12">
            <v>8</v>
          </cell>
          <cell r="N12">
            <v>8</v>
          </cell>
          <cell r="O12">
            <v>23</v>
          </cell>
          <cell r="P12">
            <v>15</v>
          </cell>
          <cell r="Q12">
            <v>8</v>
          </cell>
          <cell r="R12">
            <v>0</v>
          </cell>
          <cell r="S12">
            <v>8</v>
          </cell>
          <cell r="T12">
            <v>15</v>
          </cell>
          <cell r="U12">
            <v>23</v>
          </cell>
          <cell r="V12">
            <v>15</v>
          </cell>
          <cell r="W12">
            <v>15</v>
          </cell>
          <cell r="X12">
            <v>8</v>
          </cell>
          <cell r="Y12">
            <v>0</v>
          </cell>
          <cell r="Z12">
            <v>23</v>
          </cell>
          <cell r="AA12">
            <v>23</v>
          </cell>
          <cell r="AB12">
            <v>15</v>
          </cell>
          <cell r="AC12">
            <v>0</v>
          </cell>
          <cell r="AD12">
            <v>23</v>
          </cell>
          <cell r="AE12">
            <v>15</v>
          </cell>
          <cell r="AF12">
            <v>15</v>
          </cell>
          <cell r="AG12">
            <v>15</v>
          </cell>
          <cell r="AH12">
            <v>23</v>
          </cell>
          <cell r="AI12">
            <v>23</v>
          </cell>
          <cell r="AJ12">
            <v>0</v>
          </cell>
          <cell r="AK12">
            <v>8</v>
          </cell>
          <cell r="AL12">
            <v>8</v>
          </cell>
          <cell r="AM12">
            <v>8</v>
          </cell>
          <cell r="AN12">
            <v>23</v>
          </cell>
          <cell r="AO12">
            <v>23</v>
          </cell>
          <cell r="AP12">
            <v>25</v>
          </cell>
          <cell r="AQ12">
            <v>0</v>
          </cell>
          <cell r="AR12">
            <v>0</v>
          </cell>
          <cell r="AS12">
            <v>15</v>
          </cell>
          <cell r="AT12">
            <v>8</v>
          </cell>
          <cell r="AU12">
            <v>8</v>
          </cell>
          <cell r="AV12">
            <v>23</v>
          </cell>
          <cell r="AW12">
            <v>8</v>
          </cell>
          <cell r="AX12">
            <v>15</v>
          </cell>
          <cell r="AY12">
            <v>586</v>
          </cell>
          <cell r="AZ12">
            <v>0</v>
          </cell>
          <cell r="BA12">
            <v>32</v>
          </cell>
          <cell r="BB12">
            <v>11</v>
          </cell>
          <cell r="BC12">
            <v>0</v>
          </cell>
          <cell r="BD12">
            <v>35</v>
          </cell>
          <cell r="BE12">
            <v>0</v>
          </cell>
          <cell r="BF12">
            <v>35</v>
          </cell>
          <cell r="BG12">
            <v>21</v>
          </cell>
          <cell r="BH12">
            <v>134</v>
          </cell>
          <cell r="BI12">
            <v>0</v>
          </cell>
          <cell r="BJ12">
            <v>12</v>
          </cell>
          <cell r="BK12">
            <v>0</v>
          </cell>
          <cell r="BL12">
            <v>12</v>
          </cell>
          <cell r="BM12">
            <v>24</v>
          </cell>
          <cell r="BN12">
            <v>0</v>
          </cell>
          <cell r="BO12">
            <v>18</v>
          </cell>
          <cell r="BP12">
            <v>18</v>
          </cell>
          <cell r="BQ12">
            <v>0</v>
          </cell>
          <cell r="BR12">
            <v>0</v>
          </cell>
          <cell r="BS12">
            <v>24</v>
          </cell>
          <cell r="BT12">
            <v>24</v>
          </cell>
          <cell r="BU12">
            <v>786</v>
          </cell>
        </row>
        <row r="13">
          <cell r="C13">
            <v>23</v>
          </cell>
          <cell r="D13">
            <v>23</v>
          </cell>
          <cell r="E13">
            <v>0</v>
          </cell>
          <cell r="F13">
            <v>15</v>
          </cell>
          <cell r="G13">
            <v>23</v>
          </cell>
          <cell r="H13">
            <v>8</v>
          </cell>
          <cell r="I13">
            <v>8</v>
          </cell>
          <cell r="J13">
            <v>0</v>
          </cell>
          <cell r="K13">
            <v>25</v>
          </cell>
          <cell r="L13">
            <v>8</v>
          </cell>
          <cell r="M13">
            <v>8</v>
          </cell>
          <cell r="N13">
            <v>8</v>
          </cell>
          <cell r="O13">
            <v>23</v>
          </cell>
          <cell r="P13">
            <v>23</v>
          </cell>
          <cell r="Q13">
            <v>8</v>
          </cell>
          <cell r="R13">
            <v>0</v>
          </cell>
          <cell r="S13">
            <v>8</v>
          </cell>
          <cell r="T13">
            <v>23</v>
          </cell>
          <cell r="U13">
            <v>23</v>
          </cell>
          <cell r="V13">
            <v>23</v>
          </cell>
          <cell r="W13">
            <v>23</v>
          </cell>
          <cell r="X13">
            <v>8</v>
          </cell>
          <cell r="Y13">
            <v>0</v>
          </cell>
          <cell r="Z13">
            <v>23</v>
          </cell>
          <cell r="AA13">
            <v>23</v>
          </cell>
          <cell r="AB13">
            <v>23</v>
          </cell>
          <cell r="AC13">
            <v>15</v>
          </cell>
          <cell r="AD13">
            <v>25</v>
          </cell>
          <cell r="AE13">
            <v>25</v>
          </cell>
          <cell r="AF13">
            <v>15</v>
          </cell>
          <cell r="AG13">
            <v>8</v>
          </cell>
          <cell r="AH13">
            <v>0</v>
          </cell>
          <cell r="AI13">
            <v>0</v>
          </cell>
          <cell r="AJ13">
            <v>0</v>
          </cell>
          <cell r="AK13">
            <v>8</v>
          </cell>
          <cell r="AL13">
            <v>0</v>
          </cell>
          <cell r="AM13">
            <v>8</v>
          </cell>
          <cell r="AN13">
            <v>0</v>
          </cell>
          <cell r="AO13">
            <v>8</v>
          </cell>
          <cell r="AP13">
            <v>25</v>
          </cell>
          <cell r="AQ13">
            <v>0</v>
          </cell>
          <cell r="AR13">
            <v>0</v>
          </cell>
          <cell r="AS13">
            <v>25</v>
          </cell>
          <cell r="AT13">
            <v>8</v>
          </cell>
          <cell r="AU13">
            <v>25</v>
          </cell>
          <cell r="AV13">
            <v>8</v>
          </cell>
          <cell r="AW13">
            <v>8</v>
          </cell>
          <cell r="AX13">
            <v>0</v>
          </cell>
          <cell r="AY13">
            <v>591</v>
          </cell>
          <cell r="AZ13">
            <v>21</v>
          </cell>
          <cell r="BA13">
            <v>11</v>
          </cell>
          <cell r="BB13">
            <v>11</v>
          </cell>
          <cell r="BC13">
            <v>21</v>
          </cell>
          <cell r="BD13">
            <v>32</v>
          </cell>
          <cell r="BE13">
            <v>21</v>
          </cell>
          <cell r="BF13">
            <v>11</v>
          </cell>
          <cell r="BG13">
            <v>21</v>
          </cell>
          <cell r="BH13">
            <v>149</v>
          </cell>
          <cell r="BI13">
            <v>36</v>
          </cell>
          <cell r="BJ13">
            <v>0</v>
          </cell>
          <cell r="BK13">
            <v>0</v>
          </cell>
          <cell r="BL13">
            <v>0</v>
          </cell>
          <cell r="BM13">
            <v>36</v>
          </cell>
          <cell r="BN13">
            <v>18</v>
          </cell>
          <cell r="BO13">
            <v>60</v>
          </cell>
          <cell r="BP13">
            <v>78</v>
          </cell>
          <cell r="BQ13">
            <v>21</v>
          </cell>
          <cell r="BR13">
            <v>21</v>
          </cell>
          <cell r="BS13">
            <v>48</v>
          </cell>
          <cell r="BT13">
            <v>48</v>
          </cell>
          <cell r="BU13">
            <v>923</v>
          </cell>
        </row>
        <row r="14">
          <cell r="C14">
            <v>8</v>
          </cell>
          <cell r="D14">
            <v>8</v>
          </cell>
          <cell r="E14">
            <v>8</v>
          </cell>
          <cell r="F14">
            <v>15</v>
          </cell>
          <cell r="G14">
            <v>23</v>
          </cell>
          <cell r="H14">
            <v>0</v>
          </cell>
          <cell r="I14">
            <v>8</v>
          </cell>
          <cell r="J14">
            <v>0</v>
          </cell>
          <cell r="K14">
            <v>8</v>
          </cell>
          <cell r="L14">
            <v>8</v>
          </cell>
          <cell r="M14">
            <v>8</v>
          </cell>
          <cell r="N14">
            <v>25</v>
          </cell>
          <cell r="O14">
            <v>25</v>
          </cell>
          <cell r="P14">
            <v>15</v>
          </cell>
          <cell r="Q14">
            <v>8</v>
          </cell>
          <cell r="R14">
            <v>0</v>
          </cell>
          <cell r="S14">
            <v>8</v>
          </cell>
          <cell r="T14">
            <v>23</v>
          </cell>
          <cell r="U14">
            <v>23</v>
          </cell>
          <cell r="V14">
            <v>23</v>
          </cell>
          <cell r="W14">
            <v>15</v>
          </cell>
          <cell r="X14">
            <v>8</v>
          </cell>
          <cell r="Y14">
            <v>0</v>
          </cell>
          <cell r="Z14">
            <v>23</v>
          </cell>
          <cell r="AA14">
            <v>23</v>
          </cell>
          <cell r="AB14">
            <v>8</v>
          </cell>
          <cell r="AC14">
            <v>15</v>
          </cell>
          <cell r="AD14">
            <v>8</v>
          </cell>
          <cell r="AE14">
            <v>0</v>
          </cell>
          <cell r="AF14">
            <v>15</v>
          </cell>
          <cell r="AG14">
            <v>8</v>
          </cell>
          <cell r="AH14">
            <v>0</v>
          </cell>
          <cell r="AI14">
            <v>0</v>
          </cell>
          <cell r="AJ14">
            <v>8</v>
          </cell>
          <cell r="AK14">
            <v>8</v>
          </cell>
          <cell r="AL14">
            <v>8</v>
          </cell>
          <cell r="AM14">
            <v>8</v>
          </cell>
          <cell r="AN14">
            <v>0</v>
          </cell>
          <cell r="AO14">
            <v>23</v>
          </cell>
          <cell r="AP14">
            <v>15</v>
          </cell>
          <cell r="AQ14">
            <v>0</v>
          </cell>
          <cell r="AR14">
            <v>0</v>
          </cell>
          <cell r="AS14">
            <v>23</v>
          </cell>
          <cell r="AT14">
            <v>15</v>
          </cell>
          <cell r="AU14">
            <v>8</v>
          </cell>
          <cell r="AV14">
            <v>25</v>
          </cell>
          <cell r="AW14">
            <v>25</v>
          </cell>
          <cell r="AX14">
            <v>8</v>
          </cell>
          <cell r="AY14">
            <v>541</v>
          </cell>
          <cell r="AZ14">
            <v>21</v>
          </cell>
          <cell r="BA14">
            <v>11</v>
          </cell>
          <cell r="BB14">
            <v>0</v>
          </cell>
          <cell r="BC14">
            <v>0</v>
          </cell>
          <cell r="BD14">
            <v>21</v>
          </cell>
          <cell r="BE14">
            <v>0</v>
          </cell>
          <cell r="BF14">
            <v>21</v>
          </cell>
          <cell r="BG14">
            <v>11</v>
          </cell>
          <cell r="BH14">
            <v>85</v>
          </cell>
          <cell r="BI14">
            <v>24</v>
          </cell>
          <cell r="BJ14">
            <v>0</v>
          </cell>
          <cell r="BK14">
            <v>36</v>
          </cell>
          <cell r="BL14">
            <v>40</v>
          </cell>
          <cell r="BM14">
            <v>100</v>
          </cell>
          <cell r="BN14">
            <v>18</v>
          </cell>
          <cell r="BO14">
            <v>36</v>
          </cell>
          <cell r="BP14">
            <v>54</v>
          </cell>
          <cell r="BQ14">
            <v>0</v>
          </cell>
          <cell r="BR14">
            <v>0</v>
          </cell>
          <cell r="BS14">
            <v>48</v>
          </cell>
          <cell r="BT14">
            <v>48</v>
          </cell>
          <cell r="BU14">
            <v>828</v>
          </cell>
        </row>
        <row r="15">
          <cell r="C15">
            <v>23</v>
          </cell>
          <cell r="D15">
            <v>15</v>
          </cell>
          <cell r="E15">
            <v>0</v>
          </cell>
          <cell r="F15">
            <v>0</v>
          </cell>
          <cell r="G15">
            <v>23</v>
          </cell>
          <cell r="H15">
            <v>0</v>
          </cell>
          <cell r="I15">
            <v>8</v>
          </cell>
          <cell r="J15">
            <v>8</v>
          </cell>
          <cell r="K15">
            <v>0</v>
          </cell>
          <cell r="L15">
            <v>25</v>
          </cell>
          <cell r="M15">
            <v>8</v>
          </cell>
          <cell r="N15">
            <v>23</v>
          </cell>
          <cell r="O15">
            <v>23</v>
          </cell>
          <cell r="P15">
            <v>23</v>
          </cell>
          <cell r="Q15">
            <v>8</v>
          </cell>
          <cell r="R15">
            <v>8</v>
          </cell>
          <cell r="S15">
            <v>8</v>
          </cell>
          <cell r="T15">
            <v>23</v>
          </cell>
          <cell r="U15">
            <v>23</v>
          </cell>
          <cell r="V15">
            <v>15</v>
          </cell>
          <cell r="W15">
            <v>23</v>
          </cell>
          <cell r="X15">
            <v>8</v>
          </cell>
          <cell r="Y15">
            <v>0</v>
          </cell>
          <cell r="Z15">
            <v>15</v>
          </cell>
          <cell r="AA15">
            <v>15</v>
          </cell>
          <cell r="AB15">
            <v>25</v>
          </cell>
          <cell r="AC15">
            <v>15</v>
          </cell>
          <cell r="AD15">
            <v>15</v>
          </cell>
          <cell r="AE15">
            <v>15</v>
          </cell>
          <cell r="AF15">
            <v>23</v>
          </cell>
          <cell r="AG15">
            <v>8</v>
          </cell>
          <cell r="AH15">
            <v>25</v>
          </cell>
          <cell r="AI15">
            <v>0</v>
          </cell>
          <cell r="AJ15">
            <v>8</v>
          </cell>
          <cell r="AK15">
            <v>8</v>
          </cell>
          <cell r="AL15">
            <v>0</v>
          </cell>
          <cell r="AM15">
            <v>0</v>
          </cell>
          <cell r="AN15">
            <v>25</v>
          </cell>
          <cell r="AO15">
            <v>23</v>
          </cell>
          <cell r="AP15">
            <v>15</v>
          </cell>
          <cell r="AQ15">
            <v>0</v>
          </cell>
          <cell r="AR15">
            <v>0</v>
          </cell>
          <cell r="AS15">
            <v>15</v>
          </cell>
          <cell r="AT15">
            <v>25</v>
          </cell>
          <cell r="AU15">
            <v>8</v>
          </cell>
          <cell r="AV15">
            <v>23</v>
          </cell>
          <cell r="AW15">
            <v>15</v>
          </cell>
          <cell r="AX15">
            <v>0</v>
          </cell>
          <cell r="AY15">
            <v>616</v>
          </cell>
          <cell r="AZ15">
            <v>21</v>
          </cell>
          <cell r="BA15">
            <v>0</v>
          </cell>
          <cell r="BB15">
            <v>11</v>
          </cell>
          <cell r="BC15">
            <v>21</v>
          </cell>
          <cell r="BD15">
            <v>35</v>
          </cell>
          <cell r="BE15">
            <v>32</v>
          </cell>
          <cell r="BF15">
            <v>32</v>
          </cell>
          <cell r="BG15">
            <v>11</v>
          </cell>
          <cell r="BH15">
            <v>163</v>
          </cell>
          <cell r="BI15">
            <v>36</v>
          </cell>
          <cell r="BJ15">
            <v>24</v>
          </cell>
          <cell r="BK15">
            <v>36</v>
          </cell>
          <cell r="BL15">
            <v>0</v>
          </cell>
          <cell r="BM15">
            <v>96</v>
          </cell>
          <cell r="BN15">
            <v>18</v>
          </cell>
          <cell r="BO15">
            <v>0</v>
          </cell>
          <cell r="BP15">
            <v>18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893</v>
          </cell>
        </row>
        <row r="16">
          <cell r="C16">
            <v>23</v>
          </cell>
          <cell r="D16">
            <v>23</v>
          </cell>
          <cell r="E16">
            <v>8</v>
          </cell>
          <cell r="F16">
            <v>0</v>
          </cell>
          <cell r="G16">
            <v>23</v>
          </cell>
          <cell r="H16">
            <v>8</v>
          </cell>
          <cell r="I16">
            <v>8</v>
          </cell>
          <cell r="J16">
            <v>8</v>
          </cell>
          <cell r="K16">
            <v>0</v>
          </cell>
          <cell r="L16">
            <v>8</v>
          </cell>
          <cell r="M16">
            <v>0</v>
          </cell>
          <cell r="N16">
            <v>8</v>
          </cell>
          <cell r="O16">
            <v>25</v>
          </cell>
          <cell r="P16">
            <v>15</v>
          </cell>
          <cell r="Q16">
            <v>25</v>
          </cell>
          <cell r="R16">
            <v>0</v>
          </cell>
          <cell r="S16">
            <v>23</v>
          </cell>
          <cell r="T16">
            <v>15</v>
          </cell>
          <cell r="U16">
            <v>23</v>
          </cell>
          <cell r="V16">
            <v>23</v>
          </cell>
          <cell r="W16">
            <v>15</v>
          </cell>
          <cell r="X16">
            <v>8</v>
          </cell>
          <cell r="Y16">
            <v>0</v>
          </cell>
          <cell r="Z16">
            <v>23</v>
          </cell>
          <cell r="AA16">
            <v>0</v>
          </cell>
          <cell r="AB16">
            <v>8</v>
          </cell>
          <cell r="AC16">
            <v>23</v>
          </cell>
          <cell r="AD16">
            <v>23</v>
          </cell>
          <cell r="AE16">
            <v>23</v>
          </cell>
          <cell r="AF16">
            <v>15</v>
          </cell>
          <cell r="AG16">
            <v>15</v>
          </cell>
          <cell r="AH16">
            <v>15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23</v>
          </cell>
          <cell r="AO16">
            <v>15</v>
          </cell>
          <cell r="AP16">
            <v>8</v>
          </cell>
          <cell r="AQ16">
            <v>0</v>
          </cell>
          <cell r="AR16">
            <v>15</v>
          </cell>
          <cell r="AS16">
            <v>15</v>
          </cell>
          <cell r="AT16">
            <v>0</v>
          </cell>
          <cell r="AU16">
            <v>15</v>
          </cell>
          <cell r="AV16">
            <v>15</v>
          </cell>
          <cell r="AW16">
            <v>0</v>
          </cell>
          <cell r="AX16">
            <v>8</v>
          </cell>
          <cell r="AY16">
            <v>548</v>
          </cell>
          <cell r="AZ16">
            <v>0</v>
          </cell>
          <cell r="BA16">
            <v>0</v>
          </cell>
          <cell r="BB16">
            <v>21</v>
          </cell>
          <cell r="BC16">
            <v>0</v>
          </cell>
          <cell r="BD16">
            <v>32</v>
          </cell>
          <cell r="BE16">
            <v>32</v>
          </cell>
          <cell r="BF16">
            <v>32</v>
          </cell>
          <cell r="BG16">
            <v>11</v>
          </cell>
          <cell r="BH16">
            <v>128</v>
          </cell>
          <cell r="BI16">
            <v>0</v>
          </cell>
          <cell r="BJ16">
            <v>12</v>
          </cell>
          <cell r="BK16">
            <v>0</v>
          </cell>
          <cell r="BL16">
            <v>24</v>
          </cell>
          <cell r="BM16">
            <v>36</v>
          </cell>
          <cell r="BN16">
            <v>18</v>
          </cell>
          <cell r="BO16">
            <v>36</v>
          </cell>
          <cell r="BP16">
            <v>54</v>
          </cell>
          <cell r="BQ16">
            <v>42</v>
          </cell>
          <cell r="BR16">
            <v>42</v>
          </cell>
          <cell r="BS16">
            <v>48</v>
          </cell>
          <cell r="BT16">
            <v>48</v>
          </cell>
          <cell r="BU16">
            <v>856</v>
          </cell>
        </row>
        <row r="17">
          <cell r="C17">
            <v>23</v>
          </cell>
          <cell r="D17">
            <v>23</v>
          </cell>
          <cell r="E17">
            <v>0</v>
          </cell>
          <cell r="F17">
            <v>0</v>
          </cell>
          <cell r="G17">
            <v>23</v>
          </cell>
          <cell r="H17">
            <v>0</v>
          </cell>
          <cell r="I17">
            <v>8</v>
          </cell>
          <cell r="J17">
            <v>15</v>
          </cell>
          <cell r="K17">
            <v>15</v>
          </cell>
          <cell r="L17">
            <v>8</v>
          </cell>
          <cell r="M17">
            <v>0</v>
          </cell>
          <cell r="N17">
            <v>15</v>
          </cell>
          <cell r="O17">
            <v>23</v>
          </cell>
          <cell r="P17">
            <v>23</v>
          </cell>
          <cell r="Q17">
            <v>0</v>
          </cell>
          <cell r="R17">
            <v>0</v>
          </cell>
          <cell r="S17">
            <v>0</v>
          </cell>
          <cell r="T17">
            <v>15</v>
          </cell>
          <cell r="U17">
            <v>23</v>
          </cell>
          <cell r="V17">
            <v>23</v>
          </cell>
          <cell r="W17">
            <v>23</v>
          </cell>
          <cell r="X17">
            <v>8</v>
          </cell>
          <cell r="Y17">
            <v>0</v>
          </cell>
          <cell r="Z17">
            <v>15</v>
          </cell>
          <cell r="AA17">
            <v>23</v>
          </cell>
          <cell r="AB17">
            <v>0</v>
          </cell>
          <cell r="AC17">
            <v>15</v>
          </cell>
          <cell r="AD17">
            <v>23</v>
          </cell>
          <cell r="AE17">
            <v>8</v>
          </cell>
          <cell r="AF17">
            <v>15</v>
          </cell>
          <cell r="AG17">
            <v>8</v>
          </cell>
          <cell r="AH17">
            <v>23</v>
          </cell>
          <cell r="AI17">
            <v>23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23</v>
          </cell>
          <cell r="AO17">
            <v>23</v>
          </cell>
          <cell r="AP17">
            <v>8</v>
          </cell>
          <cell r="AQ17">
            <v>0</v>
          </cell>
          <cell r="AR17">
            <v>15</v>
          </cell>
          <cell r="AS17">
            <v>15</v>
          </cell>
          <cell r="AT17">
            <v>0</v>
          </cell>
          <cell r="AU17">
            <v>15</v>
          </cell>
          <cell r="AV17">
            <v>15</v>
          </cell>
          <cell r="AW17">
            <v>0</v>
          </cell>
          <cell r="AX17">
            <v>8</v>
          </cell>
          <cell r="AY17">
            <v>543</v>
          </cell>
          <cell r="AZ17">
            <v>21</v>
          </cell>
          <cell r="BA17">
            <v>32</v>
          </cell>
          <cell r="BB17">
            <v>0</v>
          </cell>
          <cell r="BC17">
            <v>11</v>
          </cell>
          <cell r="BD17">
            <v>32</v>
          </cell>
          <cell r="BE17">
            <v>21</v>
          </cell>
          <cell r="BF17">
            <v>32</v>
          </cell>
          <cell r="BG17">
            <v>0</v>
          </cell>
          <cell r="BH17">
            <v>149</v>
          </cell>
          <cell r="BI17">
            <v>12</v>
          </cell>
          <cell r="BJ17">
            <v>0</v>
          </cell>
          <cell r="BK17">
            <v>12</v>
          </cell>
          <cell r="BL17">
            <v>40</v>
          </cell>
          <cell r="BM17">
            <v>64</v>
          </cell>
          <cell r="BN17">
            <v>0</v>
          </cell>
          <cell r="BO17">
            <v>60</v>
          </cell>
          <cell r="BP17">
            <v>60</v>
          </cell>
          <cell r="BQ17">
            <v>70</v>
          </cell>
          <cell r="BR17">
            <v>70</v>
          </cell>
          <cell r="BS17">
            <v>48</v>
          </cell>
          <cell r="BT17">
            <v>48</v>
          </cell>
          <cell r="BU17">
            <v>934</v>
          </cell>
        </row>
        <row r="18">
          <cell r="C18">
            <v>23</v>
          </cell>
          <cell r="D18">
            <v>23</v>
          </cell>
          <cell r="E18">
            <v>0</v>
          </cell>
          <cell r="F18">
            <v>0</v>
          </cell>
          <cell r="G18">
            <v>23</v>
          </cell>
          <cell r="H18">
            <v>8</v>
          </cell>
          <cell r="I18">
            <v>23</v>
          </cell>
          <cell r="J18">
            <v>8</v>
          </cell>
          <cell r="K18">
            <v>0</v>
          </cell>
          <cell r="L18">
            <v>8</v>
          </cell>
          <cell r="M18">
            <v>0</v>
          </cell>
          <cell r="N18">
            <v>15</v>
          </cell>
          <cell r="O18">
            <v>25</v>
          </cell>
          <cell r="P18">
            <v>15</v>
          </cell>
          <cell r="Q18">
            <v>8</v>
          </cell>
          <cell r="R18">
            <v>8</v>
          </cell>
          <cell r="S18">
            <v>15</v>
          </cell>
          <cell r="T18">
            <v>15</v>
          </cell>
          <cell r="U18">
            <v>23</v>
          </cell>
          <cell r="V18">
            <v>23</v>
          </cell>
          <cell r="W18">
            <v>23</v>
          </cell>
          <cell r="X18">
            <v>8</v>
          </cell>
          <cell r="Y18">
            <v>8</v>
          </cell>
          <cell r="Z18">
            <v>23</v>
          </cell>
          <cell r="AA18">
            <v>8</v>
          </cell>
          <cell r="AB18">
            <v>8</v>
          </cell>
          <cell r="AC18">
            <v>15</v>
          </cell>
          <cell r="AD18">
            <v>15</v>
          </cell>
          <cell r="AE18">
            <v>25</v>
          </cell>
          <cell r="AF18">
            <v>15</v>
          </cell>
          <cell r="AG18">
            <v>8</v>
          </cell>
          <cell r="AH18">
            <v>8</v>
          </cell>
          <cell r="AI18">
            <v>23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23</v>
          </cell>
          <cell r="AO18">
            <v>0</v>
          </cell>
          <cell r="AP18">
            <v>23</v>
          </cell>
          <cell r="AQ18">
            <v>0</v>
          </cell>
          <cell r="AR18">
            <v>0</v>
          </cell>
          <cell r="AS18">
            <v>15</v>
          </cell>
          <cell r="AT18">
            <v>8</v>
          </cell>
          <cell r="AU18">
            <v>23</v>
          </cell>
          <cell r="AV18">
            <v>15</v>
          </cell>
          <cell r="AW18">
            <v>15</v>
          </cell>
          <cell r="AX18">
            <v>0</v>
          </cell>
          <cell r="AY18">
            <v>572</v>
          </cell>
          <cell r="AZ18">
            <v>32</v>
          </cell>
          <cell r="BA18">
            <v>21</v>
          </cell>
          <cell r="BB18">
            <v>0</v>
          </cell>
          <cell r="BC18">
            <v>0</v>
          </cell>
          <cell r="BD18">
            <v>21</v>
          </cell>
          <cell r="BE18">
            <v>11</v>
          </cell>
          <cell r="BF18">
            <v>32</v>
          </cell>
          <cell r="BG18">
            <v>11</v>
          </cell>
          <cell r="BH18">
            <v>128</v>
          </cell>
          <cell r="BI18">
            <v>0</v>
          </cell>
          <cell r="BJ18">
            <v>0</v>
          </cell>
          <cell r="BK18">
            <v>0</v>
          </cell>
          <cell r="BL18">
            <v>12</v>
          </cell>
          <cell r="BM18">
            <v>12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712</v>
          </cell>
        </row>
        <row r="19">
          <cell r="C19">
            <v>15</v>
          </cell>
          <cell r="D19">
            <v>8</v>
          </cell>
          <cell r="E19">
            <v>8</v>
          </cell>
          <cell r="F19">
            <v>15</v>
          </cell>
          <cell r="G19">
            <v>23</v>
          </cell>
          <cell r="H19">
            <v>0</v>
          </cell>
          <cell r="I19">
            <v>8</v>
          </cell>
          <cell r="J19">
            <v>25</v>
          </cell>
          <cell r="K19">
            <v>8</v>
          </cell>
          <cell r="L19">
            <v>8</v>
          </cell>
          <cell r="M19">
            <v>25</v>
          </cell>
          <cell r="N19">
            <v>15</v>
          </cell>
          <cell r="O19">
            <v>25</v>
          </cell>
          <cell r="P19">
            <v>8</v>
          </cell>
          <cell r="Q19">
            <v>0</v>
          </cell>
          <cell r="R19">
            <v>8</v>
          </cell>
          <cell r="S19">
            <v>15</v>
          </cell>
          <cell r="T19">
            <v>15</v>
          </cell>
          <cell r="U19">
            <v>15</v>
          </cell>
          <cell r="V19">
            <v>23</v>
          </cell>
          <cell r="W19">
            <v>15</v>
          </cell>
          <cell r="X19">
            <v>8</v>
          </cell>
          <cell r="Y19">
            <v>0</v>
          </cell>
          <cell r="Z19">
            <v>23</v>
          </cell>
          <cell r="AA19">
            <v>23</v>
          </cell>
          <cell r="AB19">
            <v>23</v>
          </cell>
          <cell r="AC19">
            <v>15</v>
          </cell>
          <cell r="AD19">
            <v>23</v>
          </cell>
          <cell r="AE19">
            <v>25</v>
          </cell>
          <cell r="AF19">
            <v>15</v>
          </cell>
          <cell r="AG19">
            <v>8</v>
          </cell>
          <cell r="AH19">
            <v>23</v>
          </cell>
          <cell r="AI19">
            <v>0</v>
          </cell>
          <cell r="AJ19">
            <v>8</v>
          </cell>
          <cell r="AK19">
            <v>8</v>
          </cell>
          <cell r="AL19">
            <v>8</v>
          </cell>
          <cell r="AM19">
            <v>0</v>
          </cell>
          <cell r="AN19">
            <v>23</v>
          </cell>
          <cell r="AO19">
            <v>8</v>
          </cell>
          <cell r="AP19">
            <v>25</v>
          </cell>
          <cell r="AQ19">
            <v>0</v>
          </cell>
          <cell r="AR19">
            <v>0</v>
          </cell>
          <cell r="AS19">
            <v>23</v>
          </cell>
          <cell r="AT19">
            <v>0</v>
          </cell>
          <cell r="AU19">
            <v>23</v>
          </cell>
          <cell r="AV19">
            <v>25</v>
          </cell>
          <cell r="AW19">
            <v>15</v>
          </cell>
          <cell r="AX19">
            <v>23</v>
          </cell>
          <cell r="AY19">
            <v>657</v>
          </cell>
          <cell r="AZ19">
            <v>0</v>
          </cell>
          <cell r="BA19">
            <v>35</v>
          </cell>
          <cell r="BB19">
            <v>11</v>
          </cell>
          <cell r="BC19">
            <v>0</v>
          </cell>
          <cell r="BD19">
            <v>32</v>
          </cell>
          <cell r="BE19">
            <v>11</v>
          </cell>
          <cell r="BF19">
            <v>21</v>
          </cell>
          <cell r="BG19">
            <v>11</v>
          </cell>
          <cell r="BH19">
            <v>121</v>
          </cell>
          <cell r="BI19">
            <v>36</v>
          </cell>
          <cell r="BJ19">
            <v>0</v>
          </cell>
          <cell r="BK19">
            <v>0</v>
          </cell>
          <cell r="BL19">
            <v>0</v>
          </cell>
          <cell r="BM19">
            <v>36</v>
          </cell>
          <cell r="BN19">
            <v>18</v>
          </cell>
          <cell r="BO19">
            <v>18</v>
          </cell>
          <cell r="BP19">
            <v>36</v>
          </cell>
          <cell r="BQ19">
            <v>0</v>
          </cell>
          <cell r="BR19">
            <v>0</v>
          </cell>
          <cell r="BS19">
            <v>24</v>
          </cell>
          <cell r="BT19">
            <v>24</v>
          </cell>
          <cell r="BU19">
            <v>874</v>
          </cell>
        </row>
        <row r="20">
          <cell r="C20">
            <v>15</v>
          </cell>
          <cell r="D20">
            <v>15</v>
          </cell>
          <cell r="E20">
            <v>8</v>
          </cell>
          <cell r="F20">
            <v>0</v>
          </cell>
          <cell r="G20">
            <v>25</v>
          </cell>
          <cell r="H20">
            <v>0</v>
          </cell>
          <cell r="I20">
            <v>8</v>
          </cell>
          <cell r="J20">
            <v>0</v>
          </cell>
          <cell r="K20">
            <v>8</v>
          </cell>
          <cell r="L20">
            <v>8</v>
          </cell>
          <cell r="M20">
            <v>8</v>
          </cell>
          <cell r="N20">
            <v>15</v>
          </cell>
          <cell r="O20">
            <v>23</v>
          </cell>
          <cell r="P20">
            <v>25</v>
          </cell>
          <cell r="Q20">
            <v>0</v>
          </cell>
          <cell r="R20">
            <v>0</v>
          </cell>
          <cell r="S20">
            <v>15</v>
          </cell>
          <cell r="T20">
            <v>15</v>
          </cell>
          <cell r="U20">
            <v>15</v>
          </cell>
          <cell r="V20">
            <v>23</v>
          </cell>
          <cell r="W20">
            <v>23</v>
          </cell>
          <cell r="X20">
            <v>8</v>
          </cell>
          <cell r="Y20">
            <v>0</v>
          </cell>
          <cell r="Z20">
            <v>23</v>
          </cell>
          <cell r="AA20">
            <v>25</v>
          </cell>
          <cell r="AB20">
            <v>23</v>
          </cell>
          <cell r="AC20">
            <v>15</v>
          </cell>
          <cell r="AD20">
            <v>23</v>
          </cell>
          <cell r="AE20">
            <v>25</v>
          </cell>
          <cell r="AF20">
            <v>15</v>
          </cell>
          <cell r="AG20">
            <v>8</v>
          </cell>
          <cell r="AH20">
            <v>23</v>
          </cell>
          <cell r="AI20">
            <v>15</v>
          </cell>
          <cell r="AJ20">
            <v>0</v>
          </cell>
          <cell r="AK20">
            <v>0</v>
          </cell>
          <cell r="AL20">
            <v>8</v>
          </cell>
          <cell r="AM20">
            <v>8</v>
          </cell>
          <cell r="AN20">
            <v>0</v>
          </cell>
          <cell r="AO20">
            <v>25</v>
          </cell>
          <cell r="AP20">
            <v>25</v>
          </cell>
          <cell r="AQ20">
            <v>0</v>
          </cell>
          <cell r="AR20">
            <v>0</v>
          </cell>
          <cell r="AS20">
            <v>23</v>
          </cell>
          <cell r="AT20">
            <v>8</v>
          </cell>
          <cell r="AU20">
            <v>15</v>
          </cell>
          <cell r="AV20">
            <v>15</v>
          </cell>
          <cell r="AW20">
            <v>0</v>
          </cell>
          <cell r="AX20">
            <v>25</v>
          </cell>
          <cell r="AY20">
            <v>604</v>
          </cell>
          <cell r="AZ20">
            <v>21</v>
          </cell>
          <cell r="BA20">
            <v>11</v>
          </cell>
          <cell r="BB20">
            <v>11</v>
          </cell>
          <cell r="BC20">
            <v>11</v>
          </cell>
          <cell r="BD20">
            <v>21</v>
          </cell>
          <cell r="BE20">
            <v>0</v>
          </cell>
          <cell r="BF20">
            <v>21</v>
          </cell>
          <cell r="BG20">
            <v>35</v>
          </cell>
          <cell r="BH20">
            <v>131</v>
          </cell>
          <cell r="BI20">
            <v>36</v>
          </cell>
          <cell r="BJ20">
            <v>12</v>
          </cell>
          <cell r="BK20">
            <v>0</v>
          </cell>
          <cell r="BL20">
            <v>12</v>
          </cell>
          <cell r="BM20">
            <v>60</v>
          </cell>
          <cell r="BN20">
            <v>18</v>
          </cell>
          <cell r="BO20">
            <v>60</v>
          </cell>
          <cell r="BP20">
            <v>78</v>
          </cell>
          <cell r="BQ20">
            <v>0</v>
          </cell>
          <cell r="BR20">
            <v>0</v>
          </cell>
          <cell r="BS20">
            <v>24</v>
          </cell>
          <cell r="BT20">
            <v>24</v>
          </cell>
          <cell r="BU20">
            <v>897</v>
          </cell>
        </row>
        <row r="21">
          <cell r="C21">
            <v>15</v>
          </cell>
          <cell r="D21">
            <v>15</v>
          </cell>
          <cell r="E21">
            <v>15</v>
          </cell>
          <cell r="F21">
            <v>15</v>
          </cell>
          <cell r="G21">
            <v>15</v>
          </cell>
          <cell r="H21">
            <v>8</v>
          </cell>
          <cell r="I21">
            <v>8</v>
          </cell>
          <cell r="J21">
            <v>23</v>
          </cell>
          <cell r="K21">
            <v>8</v>
          </cell>
          <cell r="L21">
            <v>0</v>
          </cell>
          <cell r="M21">
            <v>0</v>
          </cell>
          <cell r="N21">
            <v>8</v>
          </cell>
          <cell r="O21">
            <v>23</v>
          </cell>
          <cell r="P21">
            <v>23</v>
          </cell>
          <cell r="Q21">
            <v>0</v>
          </cell>
          <cell r="R21">
            <v>0</v>
          </cell>
          <cell r="S21">
            <v>8</v>
          </cell>
          <cell r="T21">
            <v>23</v>
          </cell>
          <cell r="U21">
            <v>23</v>
          </cell>
          <cell r="V21">
            <v>23</v>
          </cell>
          <cell r="W21">
            <v>15</v>
          </cell>
          <cell r="X21">
            <v>25</v>
          </cell>
          <cell r="Y21">
            <v>0</v>
          </cell>
          <cell r="Z21">
            <v>25</v>
          </cell>
          <cell r="AA21">
            <v>0</v>
          </cell>
          <cell r="AB21">
            <v>8</v>
          </cell>
          <cell r="AC21">
            <v>15</v>
          </cell>
          <cell r="AD21">
            <v>23</v>
          </cell>
          <cell r="AE21">
            <v>8</v>
          </cell>
          <cell r="AF21">
            <v>15</v>
          </cell>
          <cell r="AG21">
            <v>15</v>
          </cell>
          <cell r="AH21">
            <v>0</v>
          </cell>
          <cell r="AI21">
            <v>0</v>
          </cell>
          <cell r="AJ21">
            <v>0</v>
          </cell>
          <cell r="AK21">
            <v>8</v>
          </cell>
          <cell r="AL21">
            <v>8</v>
          </cell>
          <cell r="AM21">
            <v>8</v>
          </cell>
          <cell r="AN21">
            <v>23</v>
          </cell>
          <cell r="AO21">
            <v>8</v>
          </cell>
          <cell r="AP21">
            <v>8</v>
          </cell>
          <cell r="AQ21">
            <v>0</v>
          </cell>
          <cell r="AR21">
            <v>0</v>
          </cell>
          <cell r="AS21">
            <v>23</v>
          </cell>
          <cell r="AT21">
            <v>15</v>
          </cell>
          <cell r="AU21">
            <v>15</v>
          </cell>
          <cell r="AV21">
            <v>8</v>
          </cell>
          <cell r="AW21">
            <v>0</v>
          </cell>
          <cell r="AX21">
            <v>8</v>
          </cell>
          <cell r="AY21">
            <v>534</v>
          </cell>
          <cell r="AZ21">
            <v>21</v>
          </cell>
          <cell r="BA21">
            <v>11</v>
          </cell>
          <cell r="BB21">
            <v>0</v>
          </cell>
          <cell r="BC21">
            <v>11</v>
          </cell>
          <cell r="BD21">
            <v>21</v>
          </cell>
          <cell r="BE21">
            <v>0</v>
          </cell>
          <cell r="BF21">
            <v>32</v>
          </cell>
          <cell r="BG21">
            <v>11</v>
          </cell>
          <cell r="BH21">
            <v>107</v>
          </cell>
          <cell r="BI21">
            <v>36</v>
          </cell>
          <cell r="BJ21">
            <v>0</v>
          </cell>
          <cell r="BK21">
            <v>0</v>
          </cell>
          <cell r="BL21">
            <v>12</v>
          </cell>
          <cell r="BM21">
            <v>48</v>
          </cell>
          <cell r="BN21">
            <v>18</v>
          </cell>
          <cell r="BO21">
            <v>18</v>
          </cell>
          <cell r="BP21">
            <v>36</v>
          </cell>
          <cell r="BQ21">
            <v>0</v>
          </cell>
          <cell r="BR21">
            <v>0</v>
          </cell>
          <cell r="BS21">
            <v>24</v>
          </cell>
          <cell r="BT21">
            <v>24</v>
          </cell>
          <cell r="BU21">
            <v>749</v>
          </cell>
        </row>
        <row r="22">
          <cell r="C22">
            <v>23</v>
          </cell>
          <cell r="D22">
            <v>15</v>
          </cell>
          <cell r="E22">
            <v>0</v>
          </cell>
          <cell r="F22">
            <v>15</v>
          </cell>
          <cell r="G22">
            <v>25</v>
          </cell>
          <cell r="H22">
            <v>0</v>
          </cell>
          <cell r="I22">
            <v>0</v>
          </cell>
          <cell r="J22">
            <v>25</v>
          </cell>
          <cell r="K22">
            <v>0</v>
          </cell>
          <cell r="L22">
            <v>0</v>
          </cell>
          <cell r="M22">
            <v>0</v>
          </cell>
          <cell r="N22">
            <v>23</v>
          </cell>
          <cell r="O22">
            <v>15</v>
          </cell>
          <cell r="P22">
            <v>23</v>
          </cell>
          <cell r="Q22">
            <v>0</v>
          </cell>
          <cell r="R22">
            <v>0</v>
          </cell>
          <cell r="S22">
            <v>23</v>
          </cell>
          <cell r="T22">
            <v>15</v>
          </cell>
          <cell r="U22">
            <v>23</v>
          </cell>
          <cell r="V22">
            <v>23</v>
          </cell>
          <cell r="W22">
            <v>15</v>
          </cell>
          <cell r="X22">
            <v>0</v>
          </cell>
          <cell r="Y22">
            <v>0</v>
          </cell>
          <cell r="Z22">
            <v>23</v>
          </cell>
          <cell r="AA22">
            <v>25</v>
          </cell>
          <cell r="AB22">
            <v>15</v>
          </cell>
          <cell r="AC22">
            <v>15</v>
          </cell>
          <cell r="AD22">
            <v>15</v>
          </cell>
          <cell r="AE22">
            <v>25</v>
          </cell>
          <cell r="AF22">
            <v>15</v>
          </cell>
          <cell r="AG22">
            <v>8</v>
          </cell>
          <cell r="AH22">
            <v>23</v>
          </cell>
          <cell r="AI22">
            <v>15</v>
          </cell>
          <cell r="AJ22">
            <v>0</v>
          </cell>
          <cell r="AK22">
            <v>8</v>
          </cell>
          <cell r="AL22">
            <v>0</v>
          </cell>
          <cell r="AM22">
            <v>0</v>
          </cell>
          <cell r="AN22">
            <v>23</v>
          </cell>
          <cell r="AO22">
            <v>23</v>
          </cell>
          <cell r="AP22">
            <v>23</v>
          </cell>
          <cell r="AQ22">
            <v>0</v>
          </cell>
          <cell r="AR22">
            <v>0</v>
          </cell>
          <cell r="AS22">
            <v>23</v>
          </cell>
          <cell r="AT22">
            <v>8</v>
          </cell>
          <cell r="AU22">
            <v>15</v>
          </cell>
          <cell r="AV22">
            <v>15</v>
          </cell>
          <cell r="AW22">
            <v>8</v>
          </cell>
          <cell r="AX22">
            <v>0</v>
          </cell>
          <cell r="AY22">
            <v>588</v>
          </cell>
          <cell r="AZ22">
            <v>21</v>
          </cell>
          <cell r="BA22">
            <v>35</v>
          </cell>
          <cell r="BB22">
            <v>0</v>
          </cell>
          <cell r="BC22">
            <v>11</v>
          </cell>
          <cell r="BD22">
            <v>32</v>
          </cell>
          <cell r="BE22">
            <v>21</v>
          </cell>
          <cell r="BF22">
            <v>32</v>
          </cell>
          <cell r="BG22">
            <v>11</v>
          </cell>
          <cell r="BH22">
            <v>163</v>
          </cell>
          <cell r="BI22">
            <v>0</v>
          </cell>
          <cell r="BJ22">
            <v>0</v>
          </cell>
          <cell r="BK22">
            <v>0</v>
          </cell>
          <cell r="BL22">
            <v>12</v>
          </cell>
          <cell r="BM22">
            <v>12</v>
          </cell>
          <cell r="BN22">
            <v>0</v>
          </cell>
          <cell r="BO22">
            <v>18</v>
          </cell>
          <cell r="BP22">
            <v>18</v>
          </cell>
          <cell r="BQ22">
            <v>0</v>
          </cell>
          <cell r="BR22">
            <v>0</v>
          </cell>
          <cell r="BS22">
            <v>24</v>
          </cell>
          <cell r="BT22">
            <v>24</v>
          </cell>
          <cell r="BU22">
            <v>805</v>
          </cell>
        </row>
        <row r="23">
          <cell r="C23">
            <v>15</v>
          </cell>
          <cell r="D23">
            <v>8</v>
          </cell>
          <cell r="E23">
            <v>15</v>
          </cell>
          <cell r="F23">
            <v>15</v>
          </cell>
          <cell r="G23">
            <v>15</v>
          </cell>
          <cell r="H23">
            <v>0</v>
          </cell>
          <cell r="I23">
            <v>15</v>
          </cell>
          <cell r="J23">
            <v>0</v>
          </cell>
          <cell r="K23">
            <v>15</v>
          </cell>
          <cell r="L23">
            <v>8</v>
          </cell>
          <cell r="M23">
            <v>0</v>
          </cell>
          <cell r="N23">
            <v>8</v>
          </cell>
          <cell r="O23">
            <v>23</v>
          </cell>
          <cell r="P23">
            <v>15</v>
          </cell>
          <cell r="Q23">
            <v>0</v>
          </cell>
          <cell r="R23">
            <v>0</v>
          </cell>
          <cell r="S23">
            <v>23</v>
          </cell>
          <cell r="T23">
            <v>23</v>
          </cell>
          <cell r="U23">
            <v>23</v>
          </cell>
          <cell r="V23">
            <v>23</v>
          </cell>
          <cell r="W23">
            <v>23</v>
          </cell>
          <cell r="X23">
            <v>0</v>
          </cell>
          <cell r="Y23">
            <v>0</v>
          </cell>
          <cell r="Z23">
            <v>25</v>
          </cell>
          <cell r="AA23">
            <v>15</v>
          </cell>
          <cell r="AB23">
            <v>0</v>
          </cell>
          <cell r="AC23">
            <v>15</v>
          </cell>
          <cell r="AD23">
            <v>15</v>
          </cell>
          <cell r="AE23">
            <v>25</v>
          </cell>
          <cell r="AF23">
            <v>15</v>
          </cell>
          <cell r="AG23">
            <v>8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15</v>
          </cell>
          <cell r="AN23">
            <v>23</v>
          </cell>
          <cell r="AO23">
            <v>8</v>
          </cell>
          <cell r="AP23">
            <v>15</v>
          </cell>
          <cell r="AQ23">
            <v>0</v>
          </cell>
          <cell r="AR23">
            <v>0</v>
          </cell>
          <cell r="AS23">
            <v>23</v>
          </cell>
          <cell r="AT23">
            <v>8</v>
          </cell>
          <cell r="AU23">
            <v>15</v>
          </cell>
          <cell r="AV23">
            <v>23</v>
          </cell>
          <cell r="AW23">
            <v>0</v>
          </cell>
          <cell r="AX23">
            <v>8</v>
          </cell>
          <cell r="AY23">
            <v>523</v>
          </cell>
          <cell r="AZ23">
            <v>0</v>
          </cell>
          <cell r="BA23">
            <v>35</v>
          </cell>
          <cell r="BB23">
            <v>0</v>
          </cell>
          <cell r="BC23">
            <v>11</v>
          </cell>
          <cell r="BD23">
            <v>35</v>
          </cell>
          <cell r="BE23">
            <v>0</v>
          </cell>
          <cell r="BF23">
            <v>32</v>
          </cell>
          <cell r="BG23">
            <v>11</v>
          </cell>
          <cell r="BH23">
            <v>124</v>
          </cell>
          <cell r="BI23">
            <v>36</v>
          </cell>
          <cell r="BJ23">
            <v>0</v>
          </cell>
          <cell r="BK23">
            <v>0</v>
          </cell>
          <cell r="BL23">
            <v>0</v>
          </cell>
          <cell r="BM23">
            <v>36</v>
          </cell>
          <cell r="BN23">
            <v>0</v>
          </cell>
          <cell r="BO23">
            <v>18</v>
          </cell>
          <cell r="BP23">
            <v>18</v>
          </cell>
          <cell r="BQ23">
            <v>0</v>
          </cell>
          <cell r="BR23">
            <v>0</v>
          </cell>
          <cell r="BS23">
            <v>48</v>
          </cell>
          <cell r="BT23">
            <v>48</v>
          </cell>
          <cell r="BU23">
            <v>749</v>
          </cell>
        </row>
        <row r="24">
          <cell r="C24">
            <v>23</v>
          </cell>
          <cell r="D24">
            <v>0</v>
          </cell>
          <cell r="E24">
            <v>8</v>
          </cell>
          <cell r="F24">
            <v>8</v>
          </cell>
          <cell r="G24">
            <v>23</v>
          </cell>
          <cell r="H24">
            <v>0</v>
          </cell>
          <cell r="I24">
            <v>8</v>
          </cell>
          <cell r="J24">
            <v>0</v>
          </cell>
          <cell r="K24">
            <v>25</v>
          </cell>
          <cell r="L24">
            <v>0</v>
          </cell>
          <cell r="M24">
            <v>8</v>
          </cell>
          <cell r="N24">
            <v>8</v>
          </cell>
          <cell r="O24">
            <v>23</v>
          </cell>
          <cell r="P24">
            <v>23</v>
          </cell>
          <cell r="Q24">
            <v>0</v>
          </cell>
          <cell r="R24">
            <v>0</v>
          </cell>
          <cell r="S24">
            <v>0</v>
          </cell>
          <cell r="T24">
            <v>23</v>
          </cell>
          <cell r="U24">
            <v>15</v>
          </cell>
          <cell r="V24">
            <v>15</v>
          </cell>
          <cell r="W24">
            <v>23</v>
          </cell>
          <cell r="X24">
            <v>8</v>
          </cell>
          <cell r="Y24">
            <v>0</v>
          </cell>
          <cell r="Z24">
            <v>25</v>
          </cell>
          <cell r="AA24">
            <v>23</v>
          </cell>
          <cell r="AB24">
            <v>23</v>
          </cell>
          <cell r="AC24">
            <v>15</v>
          </cell>
          <cell r="AD24">
            <v>23</v>
          </cell>
          <cell r="AE24">
            <v>23</v>
          </cell>
          <cell r="AF24">
            <v>23</v>
          </cell>
          <cell r="AG24">
            <v>8</v>
          </cell>
          <cell r="AH24">
            <v>23</v>
          </cell>
          <cell r="AI24">
            <v>23</v>
          </cell>
          <cell r="AJ24">
            <v>0</v>
          </cell>
          <cell r="AK24">
            <v>25</v>
          </cell>
          <cell r="AL24">
            <v>0</v>
          </cell>
          <cell r="AM24">
            <v>0</v>
          </cell>
          <cell r="AN24">
            <v>23</v>
          </cell>
          <cell r="AO24">
            <v>8</v>
          </cell>
          <cell r="AP24">
            <v>25</v>
          </cell>
          <cell r="AQ24">
            <v>0</v>
          </cell>
          <cell r="AR24">
            <v>15</v>
          </cell>
          <cell r="AS24">
            <v>23</v>
          </cell>
          <cell r="AT24">
            <v>15</v>
          </cell>
          <cell r="AU24">
            <v>8</v>
          </cell>
          <cell r="AV24">
            <v>8</v>
          </cell>
          <cell r="AW24">
            <v>0</v>
          </cell>
          <cell r="AX24">
            <v>8</v>
          </cell>
          <cell r="AY24">
            <v>608</v>
          </cell>
          <cell r="AZ24">
            <v>21</v>
          </cell>
          <cell r="BA24">
            <v>11</v>
          </cell>
          <cell r="BB24">
            <v>0</v>
          </cell>
          <cell r="BC24">
            <v>11</v>
          </cell>
          <cell r="BD24">
            <v>32</v>
          </cell>
          <cell r="BE24">
            <v>21</v>
          </cell>
          <cell r="BF24">
            <v>21</v>
          </cell>
          <cell r="BG24">
            <v>11</v>
          </cell>
          <cell r="BH24">
            <v>128</v>
          </cell>
          <cell r="BI24">
            <v>36</v>
          </cell>
          <cell r="BJ24">
            <v>0</v>
          </cell>
          <cell r="BK24">
            <v>0</v>
          </cell>
          <cell r="BL24">
            <v>12</v>
          </cell>
          <cell r="BM24">
            <v>48</v>
          </cell>
          <cell r="BN24">
            <v>18</v>
          </cell>
          <cell r="BO24">
            <v>60</v>
          </cell>
          <cell r="BP24">
            <v>78</v>
          </cell>
          <cell r="BQ24">
            <v>0</v>
          </cell>
          <cell r="BR24">
            <v>0</v>
          </cell>
          <cell r="BS24">
            <v>48</v>
          </cell>
          <cell r="BT24">
            <v>48</v>
          </cell>
          <cell r="BU24">
            <v>910</v>
          </cell>
        </row>
        <row r="25">
          <cell r="C25">
            <v>15</v>
          </cell>
          <cell r="D25">
            <v>15</v>
          </cell>
          <cell r="E25">
            <v>8</v>
          </cell>
          <cell r="F25">
            <v>0</v>
          </cell>
          <cell r="G25">
            <v>8</v>
          </cell>
          <cell r="H25">
            <v>8</v>
          </cell>
          <cell r="I25">
            <v>8</v>
          </cell>
          <cell r="J25">
            <v>0</v>
          </cell>
          <cell r="K25">
            <v>15</v>
          </cell>
          <cell r="L25">
            <v>0</v>
          </cell>
          <cell r="M25">
            <v>0</v>
          </cell>
          <cell r="N25">
            <v>25</v>
          </cell>
          <cell r="O25">
            <v>25</v>
          </cell>
          <cell r="P25">
            <v>15</v>
          </cell>
          <cell r="Q25">
            <v>8</v>
          </cell>
          <cell r="R25">
            <v>8</v>
          </cell>
          <cell r="S25">
            <v>15</v>
          </cell>
          <cell r="T25">
            <v>23</v>
          </cell>
          <cell r="U25">
            <v>25</v>
          </cell>
          <cell r="V25">
            <v>15</v>
          </cell>
          <cell r="W25">
            <v>15</v>
          </cell>
          <cell r="X25">
            <v>8</v>
          </cell>
          <cell r="Y25">
            <v>0</v>
          </cell>
          <cell r="Z25">
            <v>23</v>
          </cell>
          <cell r="AA25">
            <v>0</v>
          </cell>
          <cell r="AB25">
            <v>0</v>
          </cell>
          <cell r="AC25">
            <v>15</v>
          </cell>
          <cell r="AD25">
            <v>23</v>
          </cell>
          <cell r="AE25">
            <v>15</v>
          </cell>
          <cell r="AF25">
            <v>23</v>
          </cell>
          <cell r="AG25">
            <v>15</v>
          </cell>
          <cell r="AH25">
            <v>15</v>
          </cell>
          <cell r="AI25">
            <v>0</v>
          </cell>
          <cell r="AJ25">
            <v>8</v>
          </cell>
          <cell r="AK25">
            <v>0</v>
          </cell>
          <cell r="AL25">
            <v>8</v>
          </cell>
          <cell r="AM25">
            <v>0</v>
          </cell>
          <cell r="AN25">
            <v>0</v>
          </cell>
          <cell r="AO25">
            <v>25</v>
          </cell>
          <cell r="AP25">
            <v>23</v>
          </cell>
          <cell r="AQ25">
            <v>0</v>
          </cell>
          <cell r="AR25">
            <v>0</v>
          </cell>
          <cell r="AS25">
            <v>25</v>
          </cell>
          <cell r="AT25">
            <v>15</v>
          </cell>
          <cell r="AU25">
            <v>8</v>
          </cell>
          <cell r="AV25">
            <v>25</v>
          </cell>
          <cell r="AW25">
            <v>8</v>
          </cell>
          <cell r="AX25">
            <v>8</v>
          </cell>
          <cell r="AY25">
            <v>541</v>
          </cell>
          <cell r="AZ25">
            <v>21</v>
          </cell>
          <cell r="BA25">
            <v>11</v>
          </cell>
          <cell r="BB25">
            <v>11</v>
          </cell>
          <cell r="BC25">
            <v>11</v>
          </cell>
          <cell r="BD25">
            <v>32</v>
          </cell>
          <cell r="BE25">
            <v>21</v>
          </cell>
          <cell r="BF25">
            <v>21</v>
          </cell>
          <cell r="BG25">
            <v>35</v>
          </cell>
          <cell r="BH25">
            <v>163</v>
          </cell>
          <cell r="BI25">
            <v>12</v>
          </cell>
          <cell r="BJ25">
            <v>0</v>
          </cell>
          <cell r="BK25">
            <v>0</v>
          </cell>
          <cell r="BL25">
            <v>12</v>
          </cell>
          <cell r="BM25">
            <v>24</v>
          </cell>
          <cell r="BN25">
            <v>18</v>
          </cell>
          <cell r="BO25">
            <v>18</v>
          </cell>
          <cell r="BP25">
            <v>36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764</v>
          </cell>
        </row>
        <row r="26">
          <cell r="C26">
            <v>23</v>
          </cell>
          <cell r="D26">
            <v>8</v>
          </cell>
          <cell r="E26">
            <v>8</v>
          </cell>
          <cell r="F26">
            <v>0</v>
          </cell>
          <cell r="G26">
            <v>15</v>
          </cell>
          <cell r="H26">
            <v>8</v>
          </cell>
          <cell r="I26">
            <v>8</v>
          </cell>
          <cell r="J26">
            <v>15</v>
          </cell>
          <cell r="K26">
            <v>0</v>
          </cell>
          <cell r="L26">
            <v>8</v>
          </cell>
          <cell r="M26">
            <v>8</v>
          </cell>
          <cell r="N26">
            <v>25</v>
          </cell>
          <cell r="O26">
            <v>23</v>
          </cell>
          <cell r="P26">
            <v>23</v>
          </cell>
          <cell r="Q26">
            <v>8</v>
          </cell>
          <cell r="R26">
            <v>8</v>
          </cell>
          <cell r="S26">
            <v>23</v>
          </cell>
          <cell r="T26">
            <v>23</v>
          </cell>
          <cell r="U26">
            <v>15</v>
          </cell>
          <cell r="V26">
            <v>15</v>
          </cell>
          <cell r="W26">
            <v>23</v>
          </cell>
          <cell r="X26">
            <v>8</v>
          </cell>
          <cell r="Y26">
            <v>0</v>
          </cell>
          <cell r="Z26">
            <v>15</v>
          </cell>
          <cell r="AA26">
            <v>23</v>
          </cell>
          <cell r="AB26">
            <v>8</v>
          </cell>
          <cell r="AC26">
            <v>0</v>
          </cell>
          <cell r="AD26">
            <v>23</v>
          </cell>
          <cell r="AE26">
            <v>15</v>
          </cell>
          <cell r="AF26">
            <v>15</v>
          </cell>
          <cell r="AG26">
            <v>8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8</v>
          </cell>
          <cell r="AN26">
            <v>0</v>
          </cell>
          <cell r="AO26">
            <v>0</v>
          </cell>
          <cell r="AP26">
            <v>23</v>
          </cell>
          <cell r="AQ26">
            <v>0</v>
          </cell>
          <cell r="AR26">
            <v>0</v>
          </cell>
          <cell r="AS26">
            <v>25</v>
          </cell>
          <cell r="AT26">
            <v>15</v>
          </cell>
          <cell r="AU26">
            <v>15</v>
          </cell>
          <cell r="AV26">
            <v>8</v>
          </cell>
          <cell r="AW26">
            <v>8</v>
          </cell>
          <cell r="AX26">
            <v>15</v>
          </cell>
          <cell r="AY26">
            <v>519</v>
          </cell>
          <cell r="AZ26">
            <v>21</v>
          </cell>
          <cell r="BA26">
            <v>0</v>
          </cell>
          <cell r="BB26">
            <v>11</v>
          </cell>
          <cell r="BC26">
            <v>0</v>
          </cell>
          <cell r="BD26">
            <v>21</v>
          </cell>
          <cell r="BE26">
            <v>32</v>
          </cell>
          <cell r="BF26">
            <v>21</v>
          </cell>
          <cell r="BG26">
            <v>11</v>
          </cell>
          <cell r="BH26">
            <v>117</v>
          </cell>
          <cell r="BI26">
            <v>0</v>
          </cell>
          <cell r="BJ26">
            <v>12</v>
          </cell>
          <cell r="BK26">
            <v>0</v>
          </cell>
          <cell r="BL26">
            <v>18</v>
          </cell>
          <cell r="BM26">
            <v>30</v>
          </cell>
          <cell r="BN26">
            <v>36</v>
          </cell>
          <cell r="BO26">
            <v>36</v>
          </cell>
          <cell r="BP26">
            <v>72</v>
          </cell>
          <cell r="BQ26">
            <v>0</v>
          </cell>
          <cell r="BR26">
            <v>0</v>
          </cell>
          <cell r="BS26">
            <v>24</v>
          </cell>
          <cell r="BT26">
            <v>24</v>
          </cell>
          <cell r="BU26">
            <v>762</v>
          </cell>
        </row>
        <row r="27">
          <cell r="C27">
            <v>23</v>
          </cell>
          <cell r="D27">
            <v>23</v>
          </cell>
          <cell r="E27">
            <v>0</v>
          </cell>
          <cell r="F27">
            <v>15</v>
          </cell>
          <cell r="G27">
            <v>23</v>
          </cell>
          <cell r="H27">
            <v>0</v>
          </cell>
          <cell r="I27">
            <v>8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8</v>
          </cell>
          <cell r="O27">
            <v>23</v>
          </cell>
          <cell r="P27">
            <v>15</v>
          </cell>
          <cell r="Q27">
            <v>0</v>
          </cell>
          <cell r="R27">
            <v>0</v>
          </cell>
          <cell r="S27">
            <v>0</v>
          </cell>
          <cell r="T27">
            <v>23</v>
          </cell>
          <cell r="U27">
            <v>25</v>
          </cell>
          <cell r="V27">
            <v>23</v>
          </cell>
          <cell r="W27">
            <v>25</v>
          </cell>
          <cell r="X27">
            <v>25</v>
          </cell>
          <cell r="Y27">
            <v>0</v>
          </cell>
          <cell r="Z27">
            <v>15</v>
          </cell>
          <cell r="AA27">
            <v>23</v>
          </cell>
          <cell r="AB27">
            <v>8</v>
          </cell>
          <cell r="AC27">
            <v>15</v>
          </cell>
          <cell r="AD27">
            <v>23</v>
          </cell>
          <cell r="AE27">
            <v>15</v>
          </cell>
          <cell r="AF27">
            <v>15</v>
          </cell>
          <cell r="AG27">
            <v>15</v>
          </cell>
          <cell r="AH27">
            <v>23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8</v>
          </cell>
          <cell r="AN27">
            <v>23</v>
          </cell>
          <cell r="AO27">
            <v>15</v>
          </cell>
          <cell r="AP27">
            <v>15</v>
          </cell>
          <cell r="AQ27">
            <v>0</v>
          </cell>
          <cell r="AR27">
            <v>8</v>
          </cell>
          <cell r="AS27">
            <v>23</v>
          </cell>
          <cell r="AT27">
            <v>15</v>
          </cell>
          <cell r="AU27">
            <v>8</v>
          </cell>
          <cell r="AV27">
            <v>23</v>
          </cell>
          <cell r="AW27">
            <v>8</v>
          </cell>
          <cell r="AX27">
            <v>0</v>
          </cell>
          <cell r="AY27">
            <v>557</v>
          </cell>
          <cell r="AZ27">
            <v>21</v>
          </cell>
          <cell r="BA27">
            <v>0</v>
          </cell>
          <cell r="BB27">
            <v>11</v>
          </cell>
          <cell r="BC27">
            <v>0</v>
          </cell>
          <cell r="BD27">
            <v>32</v>
          </cell>
          <cell r="BE27">
            <v>21</v>
          </cell>
          <cell r="BF27">
            <v>21</v>
          </cell>
          <cell r="BG27">
            <v>21</v>
          </cell>
          <cell r="BH27">
            <v>127</v>
          </cell>
          <cell r="BI27">
            <v>12</v>
          </cell>
          <cell r="BJ27">
            <v>12</v>
          </cell>
          <cell r="BK27">
            <v>0</v>
          </cell>
          <cell r="BL27">
            <v>24</v>
          </cell>
          <cell r="BM27">
            <v>48</v>
          </cell>
          <cell r="BN27">
            <v>0</v>
          </cell>
          <cell r="BO27">
            <v>36</v>
          </cell>
          <cell r="BP27">
            <v>36</v>
          </cell>
          <cell r="BQ27">
            <v>0</v>
          </cell>
          <cell r="BR27">
            <v>0</v>
          </cell>
          <cell r="BS27">
            <v>48</v>
          </cell>
          <cell r="BT27">
            <v>48</v>
          </cell>
          <cell r="BU27">
            <v>816</v>
          </cell>
        </row>
        <row r="28">
          <cell r="C28">
            <v>15</v>
          </cell>
          <cell r="D28">
            <v>8</v>
          </cell>
          <cell r="E28">
            <v>25</v>
          </cell>
          <cell r="F28">
            <v>8</v>
          </cell>
          <cell r="G28">
            <v>23</v>
          </cell>
          <cell r="H28">
            <v>8</v>
          </cell>
          <cell r="I28">
            <v>0</v>
          </cell>
          <cell r="J28">
            <v>25</v>
          </cell>
          <cell r="K28">
            <v>0</v>
          </cell>
          <cell r="L28">
            <v>8</v>
          </cell>
          <cell r="M28">
            <v>8</v>
          </cell>
          <cell r="N28">
            <v>23</v>
          </cell>
          <cell r="O28">
            <v>23</v>
          </cell>
          <cell r="P28">
            <v>15</v>
          </cell>
          <cell r="Q28">
            <v>0</v>
          </cell>
          <cell r="R28">
            <v>0</v>
          </cell>
          <cell r="S28">
            <v>15</v>
          </cell>
          <cell r="T28">
            <v>15</v>
          </cell>
          <cell r="U28">
            <v>15</v>
          </cell>
          <cell r="V28">
            <v>23</v>
          </cell>
          <cell r="W28">
            <v>23</v>
          </cell>
          <cell r="X28">
            <v>25</v>
          </cell>
          <cell r="Y28">
            <v>0</v>
          </cell>
          <cell r="Z28">
            <v>23</v>
          </cell>
          <cell r="AA28">
            <v>0</v>
          </cell>
          <cell r="AB28">
            <v>8</v>
          </cell>
          <cell r="AC28">
            <v>15</v>
          </cell>
          <cell r="AD28">
            <v>23</v>
          </cell>
          <cell r="AE28">
            <v>25</v>
          </cell>
          <cell r="AF28">
            <v>15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8</v>
          </cell>
          <cell r="AM28">
            <v>0</v>
          </cell>
          <cell r="AN28">
            <v>0</v>
          </cell>
          <cell r="AO28">
            <v>0</v>
          </cell>
          <cell r="AP28">
            <v>23</v>
          </cell>
          <cell r="AQ28">
            <v>0</v>
          </cell>
          <cell r="AR28">
            <v>0</v>
          </cell>
          <cell r="AS28">
            <v>23</v>
          </cell>
          <cell r="AT28">
            <v>8</v>
          </cell>
          <cell r="AU28">
            <v>23</v>
          </cell>
          <cell r="AV28">
            <v>15</v>
          </cell>
          <cell r="AW28">
            <v>0</v>
          </cell>
          <cell r="AX28">
            <v>8</v>
          </cell>
          <cell r="AY28">
            <v>522</v>
          </cell>
          <cell r="AZ28">
            <v>21</v>
          </cell>
          <cell r="BA28">
            <v>21</v>
          </cell>
          <cell r="BB28">
            <v>0</v>
          </cell>
          <cell r="BC28">
            <v>0</v>
          </cell>
          <cell r="BD28">
            <v>32</v>
          </cell>
          <cell r="BE28">
            <v>32</v>
          </cell>
          <cell r="BF28">
            <v>32</v>
          </cell>
          <cell r="BG28">
            <v>11</v>
          </cell>
          <cell r="BH28">
            <v>149</v>
          </cell>
          <cell r="BI28">
            <v>24</v>
          </cell>
          <cell r="BJ28">
            <v>0</v>
          </cell>
          <cell r="BK28">
            <v>0</v>
          </cell>
          <cell r="BL28">
            <v>0</v>
          </cell>
          <cell r="BM28">
            <v>24</v>
          </cell>
          <cell r="BN28">
            <v>18</v>
          </cell>
          <cell r="BO28">
            <v>0</v>
          </cell>
          <cell r="BP28">
            <v>18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713</v>
          </cell>
        </row>
        <row r="29">
          <cell r="C29">
            <v>0</v>
          </cell>
          <cell r="D29">
            <v>23</v>
          </cell>
          <cell r="E29">
            <v>8</v>
          </cell>
          <cell r="F29">
            <v>8</v>
          </cell>
          <cell r="G29">
            <v>23</v>
          </cell>
          <cell r="H29">
            <v>8</v>
          </cell>
          <cell r="I29">
            <v>15</v>
          </cell>
          <cell r="J29">
            <v>8</v>
          </cell>
          <cell r="K29">
            <v>23</v>
          </cell>
          <cell r="L29">
            <v>8</v>
          </cell>
          <cell r="M29">
            <v>0</v>
          </cell>
          <cell r="N29">
            <v>15</v>
          </cell>
          <cell r="O29">
            <v>23</v>
          </cell>
          <cell r="P29">
            <v>15</v>
          </cell>
          <cell r="Q29">
            <v>25</v>
          </cell>
          <cell r="R29">
            <v>0</v>
          </cell>
          <cell r="S29">
            <v>23</v>
          </cell>
          <cell r="T29">
            <v>15</v>
          </cell>
          <cell r="U29">
            <v>23</v>
          </cell>
          <cell r="V29">
            <v>23</v>
          </cell>
          <cell r="W29">
            <v>15</v>
          </cell>
          <cell r="X29">
            <v>15</v>
          </cell>
          <cell r="Y29">
            <v>0</v>
          </cell>
          <cell r="Z29">
            <v>23</v>
          </cell>
          <cell r="AA29">
            <v>23</v>
          </cell>
          <cell r="AB29">
            <v>8</v>
          </cell>
          <cell r="AC29">
            <v>15</v>
          </cell>
          <cell r="AD29">
            <v>15</v>
          </cell>
          <cell r="AE29">
            <v>25</v>
          </cell>
          <cell r="AF29">
            <v>15</v>
          </cell>
          <cell r="AG29">
            <v>0</v>
          </cell>
          <cell r="AH29">
            <v>0</v>
          </cell>
          <cell r="AI29">
            <v>15</v>
          </cell>
          <cell r="AJ29">
            <v>8</v>
          </cell>
          <cell r="AK29">
            <v>0</v>
          </cell>
          <cell r="AL29">
            <v>8</v>
          </cell>
          <cell r="AM29">
            <v>8</v>
          </cell>
          <cell r="AN29">
            <v>0</v>
          </cell>
          <cell r="AO29">
            <v>23</v>
          </cell>
          <cell r="AP29">
            <v>25</v>
          </cell>
          <cell r="AQ29">
            <v>0</v>
          </cell>
          <cell r="AR29">
            <v>0</v>
          </cell>
          <cell r="AS29">
            <v>23</v>
          </cell>
          <cell r="AT29">
            <v>15</v>
          </cell>
          <cell r="AU29">
            <v>23</v>
          </cell>
          <cell r="AV29">
            <v>25</v>
          </cell>
          <cell r="AW29">
            <v>0</v>
          </cell>
          <cell r="AX29">
            <v>8</v>
          </cell>
          <cell r="AY29">
            <v>621</v>
          </cell>
          <cell r="AZ29">
            <v>21</v>
          </cell>
          <cell r="BA29">
            <v>35</v>
          </cell>
          <cell r="BB29">
            <v>11</v>
          </cell>
          <cell r="BC29">
            <v>11</v>
          </cell>
          <cell r="BD29">
            <v>35</v>
          </cell>
          <cell r="BE29">
            <v>21</v>
          </cell>
          <cell r="BF29">
            <v>21</v>
          </cell>
          <cell r="BG29">
            <v>11</v>
          </cell>
          <cell r="BH29">
            <v>166</v>
          </cell>
          <cell r="BI29">
            <v>0</v>
          </cell>
          <cell r="BJ29">
            <v>0</v>
          </cell>
          <cell r="BK29">
            <v>0</v>
          </cell>
          <cell r="BL29">
            <v>24</v>
          </cell>
          <cell r="BM29">
            <v>24</v>
          </cell>
          <cell r="BN29">
            <v>18</v>
          </cell>
          <cell r="BO29">
            <v>36</v>
          </cell>
          <cell r="BP29">
            <v>54</v>
          </cell>
          <cell r="BQ29">
            <v>0</v>
          </cell>
          <cell r="BR29">
            <v>0</v>
          </cell>
          <cell r="BS29">
            <v>24</v>
          </cell>
          <cell r="BT29">
            <v>24</v>
          </cell>
          <cell r="BU29">
            <v>889</v>
          </cell>
        </row>
        <row r="30">
          <cell r="C30">
            <v>23</v>
          </cell>
          <cell r="D30">
            <v>0</v>
          </cell>
          <cell r="E30">
            <v>25</v>
          </cell>
          <cell r="F30">
            <v>0</v>
          </cell>
          <cell r="G30">
            <v>23</v>
          </cell>
          <cell r="H30">
            <v>0</v>
          </cell>
          <cell r="I30">
            <v>15</v>
          </cell>
          <cell r="J30">
            <v>8</v>
          </cell>
          <cell r="K30">
            <v>0</v>
          </cell>
          <cell r="L30">
            <v>0</v>
          </cell>
          <cell r="M30">
            <v>0</v>
          </cell>
          <cell r="N30">
            <v>25</v>
          </cell>
          <cell r="O30">
            <v>25</v>
          </cell>
          <cell r="P30">
            <v>23</v>
          </cell>
          <cell r="Q30">
            <v>0</v>
          </cell>
          <cell r="R30">
            <v>0</v>
          </cell>
          <cell r="S30">
            <v>23</v>
          </cell>
          <cell r="T30">
            <v>23</v>
          </cell>
          <cell r="U30">
            <v>23</v>
          </cell>
          <cell r="V30">
            <v>23</v>
          </cell>
          <cell r="W30">
            <v>25</v>
          </cell>
          <cell r="X30">
            <v>8</v>
          </cell>
          <cell r="Y30">
            <v>0</v>
          </cell>
          <cell r="Z30">
            <v>25</v>
          </cell>
          <cell r="AA30">
            <v>25</v>
          </cell>
          <cell r="AB30">
            <v>0</v>
          </cell>
          <cell r="AC30">
            <v>15</v>
          </cell>
          <cell r="AD30">
            <v>23</v>
          </cell>
          <cell r="AE30">
            <v>25</v>
          </cell>
          <cell r="AF30">
            <v>15</v>
          </cell>
          <cell r="AG30">
            <v>0</v>
          </cell>
          <cell r="AH30">
            <v>23</v>
          </cell>
          <cell r="AI30">
            <v>15</v>
          </cell>
          <cell r="AJ30">
            <v>0</v>
          </cell>
          <cell r="AK30">
            <v>8</v>
          </cell>
          <cell r="AL30">
            <v>0</v>
          </cell>
          <cell r="AM30">
            <v>15</v>
          </cell>
          <cell r="AN30">
            <v>23</v>
          </cell>
          <cell r="AO30">
            <v>23</v>
          </cell>
          <cell r="AP30">
            <v>8</v>
          </cell>
          <cell r="AQ30">
            <v>0</v>
          </cell>
          <cell r="AR30">
            <v>0</v>
          </cell>
          <cell r="AS30">
            <v>25</v>
          </cell>
          <cell r="AT30">
            <v>15</v>
          </cell>
          <cell r="AU30">
            <v>23</v>
          </cell>
          <cell r="AV30">
            <v>25</v>
          </cell>
          <cell r="AW30">
            <v>0</v>
          </cell>
          <cell r="AX30">
            <v>0</v>
          </cell>
          <cell r="AY30">
            <v>623</v>
          </cell>
          <cell r="AZ30">
            <v>21</v>
          </cell>
          <cell r="BA30">
            <v>11</v>
          </cell>
          <cell r="BB30">
            <v>0</v>
          </cell>
          <cell r="BC30">
            <v>35</v>
          </cell>
          <cell r="BD30">
            <v>32</v>
          </cell>
          <cell r="BE30">
            <v>21</v>
          </cell>
          <cell r="BF30">
            <v>21</v>
          </cell>
          <cell r="BG30">
            <v>35</v>
          </cell>
          <cell r="BH30">
            <v>176</v>
          </cell>
          <cell r="BI30">
            <v>0</v>
          </cell>
          <cell r="BJ30">
            <v>0</v>
          </cell>
          <cell r="BK30">
            <v>0</v>
          </cell>
          <cell r="BL30">
            <v>40</v>
          </cell>
          <cell r="BM30">
            <v>40</v>
          </cell>
          <cell r="BN30">
            <v>18</v>
          </cell>
          <cell r="BO30">
            <v>0</v>
          </cell>
          <cell r="BP30">
            <v>18</v>
          </cell>
          <cell r="BQ30">
            <v>0</v>
          </cell>
          <cell r="BR30">
            <v>0</v>
          </cell>
          <cell r="BS30">
            <v>48</v>
          </cell>
          <cell r="BT30">
            <v>48</v>
          </cell>
          <cell r="BU30">
            <v>905</v>
          </cell>
        </row>
        <row r="31">
          <cell r="C31">
            <v>23</v>
          </cell>
          <cell r="D31">
            <v>15</v>
          </cell>
          <cell r="E31">
            <v>23</v>
          </cell>
          <cell r="F31">
            <v>8</v>
          </cell>
          <cell r="G31">
            <v>23</v>
          </cell>
          <cell r="H31">
            <v>25</v>
          </cell>
          <cell r="I31">
            <v>8</v>
          </cell>
          <cell r="J31">
            <v>8</v>
          </cell>
          <cell r="K31">
            <v>8</v>
          </cell>
          <cell r="L31">
            <v>0</v>
          </cell>
          <cell r="M31">
            <v>8</v>
          </cell>
          <cell r="N31">
            <v>23</v>
          </cell>
          <cell r="O31">
            <v>25</v>
          </cell>
          <cell r="P31">
            <v>23</v>
          </cell>
          <cell r="Q31">
            <v>8</v>
          </cell>
          <cell r="R31">
            <v>0</v>
          </cell>
          <cell r="S31">
            <v>8</v>
          </cell>
          <cell r="T31">
            <v>23</v>
          </cell>
          <cell r="U31">
            <v>23</v>
          </cell>
          <cell r="V31">
            <v>23</v>
          </cell>
          <cell r="W31">
            <v>15</v>
          </cell>
          <cell r="X31">
            <v>0</v>
          </cell>
          <cell r="Y31">
            <v>0</v>
          </cell>
          <cell r="Z31">
            <v>15</v>
          </cell>
          <cell r="AA31">
            <v>0</v>
          </cell>
          <cell r="AB31">
            <v>23</v>
          </cell>
          <cell r="AC31">
            <v>15</v>
          </cell>
          <cell r="AD31">
            <v>25</v>
          </cell>
          <cell r="AE31">
            <v>23</v>
          </cell>
          <cell r="AF31">
            <v>23</v>
          </cell>
          <cell r="AG31">
            <v>0</v>
          </cell>
          <cell r="AH31">
            <v>23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15</v>
          </cell>
          <cell r="AO31">
            <v>25</v>
          </cell>
          <cell r="AP31">
            <v>15</v>
          </cell>
          <cell r="AQ31">
            <v>0</v>
          </cell>
          <cell r="AR31">
            <v>0</v>
          </cell>
          <cell r="AS31">
            <v>23</v>
          </cell>
          <cell r="AT31">
            <v>15</v>
          </cell>
          <cell r="AU31">
            <v>0</v>
          </cell>
          <cell r="AV31">
            <v>15</v>
          </cell>
          <cell r="AW31">
            <v>8</v>
          </cell>
          <cell r="AX31">
            <v>0</v>
          </cell>
          <cell r="AY31">
            <v>583</v>
          </cell>
          <cell r="AZ31">
            <v>21</v>
          </cell>
          <cell r="BA31">
            <v>11</v>
          </cell>
          <cell r="BB31">
            <v>11</v>
          </cell>
          <cell r="BC31">
            <v>21</v>
          </cell>
          <cell r="BD31">
            <v>21</v>
          </cell>
          <cell r="BE31">
            <v>21</v>
          </cell>
          <cell r="BF31">
            <v>21</v>
          </cell>
          <cell r="BG31">
            <v>21</v>
          </cell>
          <cell r="BH31">
            <v>148</v>
          </cell>
          <cell r="BI31">
            <v>24</v>
          </cell>
          <cell r="BJ31">
            <v>0</v>
          </cell>
          <cell r="BK31">
            <v>0</v>
          </cell>
          <cell r="BL31">
            <v>24</v>
          </cell>
          <cell r="BM31">
            <v>48</v>
          </cell>
          <cell r="BN31">
            <v>0</v>
          </cell>
          <cell r="BO31">
            <v>0</v>
          </cell>
          <cell r="BP31">
            <v>0</v>
          </cell>
          <cell r="BQ31">
            <v>63</v>
          </cell>
          <cell r="BR31">
            <v>63</v>
          </cell>
          <cell r="BS31">
            <v>0</v>
          </cell>
          <cell r="BT31">
            <v>0</v>
          </cell>
          <cell r="BU31">
            <v>842</v>
          </cell>
        </row>
        <row r="32">
          <cell r="C32">
            <v>23</v>
          </cell>
          <cell r="D32">
            <v>23</v>
          </cell>
          <cell r="E32">
            <v>0</v>
          </cell>
          <cell r="F32">
            <v>0</v>
          </cell>
          <cell r="G32">
            <v>23</v>
          </cell>
          <cell r="H32">
            <v>0</v>
          </cell>
          <cell r="I32">
            <v>8</v>
          </cell>
          <cell r="J32">
            <v>0</v>
          </cell>
          <cell r="K32">
            <v>8</v>
          </cell>
          <cell r="L32">
            <v>8</v>
          </cell>
          <cell r="M32">
            <v>0</v>
          </cell>
          <cell r="N32">
            <v>8</v>
          </cell>
          <cell r="O32">
            <v>23</v>
          </cell>
          <cell r="P32">
            <v>15</v>
          </cell>
          <cell r="Q32">
            <v>8</v>
          </cell>
          <cell r="R32">
            <v>0</v>
          </cell>
          <cell r="S32">
            <v>8</v>
          </cell>
          <cell r="T32">
            <v>25</v>
          </cell>
          <cell r="U32">
            <v>23</v>
          </cell>
          <cell r="V32">
            <v>23</v>
          </cell>
          <cell r="W32">
            <v>15</v>
          </cell>
          <cell r="X32">
            <v>0</v>
          </cell>
          <cell r="Y32">
            <v>0</v>
          </cell>
          <cell r="Z32">
            <v>25</v>
          </cell>
          <cell r="AA32">
            <v>0</v>
          </cell>
          <cell r="AB32">
            <v>15</v>
          </cell>
          <cell r="AC32">
            <v>15</v>
          </cell>
          <cell r="AD32">
            <v>25</v>
          </cell>
          <cell r="AE32">
            <v>15</v>
          </cell>
          <cell r="AF32">
            <v>15</v>
          </cell>
          <cell r="AG32">
            <v>8</v>
          </cell>
          <cell r="AH32">
            <v>0</v>
          </cell>
          <cell r="AI32">
            <v>15</v>
          </cell>
          <cell r="AJ32">
            <v>8</v>
          </cell>
          <cell r="AK32">
            <v>8</v>
          </cell>
          <cell r="AL32">
            <v>25</v>
          </cell>
          <cell r="AM32">
            <v>15</v>
          </cell>
          <cell r="AN32">
            <v>23</v>
          </cell>
          <cell r="AO32">
            <v>8</v>
          </cell>
          <cell r="AP32">
            <v>23</v>
          </cell>
          <cell r="AQ32">
            <v>8</v>
          </cell>
          <cell r="AR32">
            <v>0</v>
          </cell>
          <cell r="AS32">
            <v>23</v>
          </cell>
          <cell r="AT32">
            <v>0</v>
          </cell>
          <cell r="AU32">
            <v>15</v>
          </cell>
          <cell r="AV32">
            <v>15</v>
          </cell>
          <cell r="AW32">
            <v>15</v>
          </cell>
          <cell r="AX32">
            <v>0</v>
          </cell>
          <cell r="AY32">
            <v>560</v>
          </cell>
          <cell r="AZ32">
            <v>21</v>
          </cell>
          <cell r="BA32">
            <v>21</v>
          </cell>
          <cell r="BB32">
            <v>0</v>
          </cell>
          <cell r="BC32">
            <v>11</v>
          </cell>
          <cell r="BD32">
            <v>35</v>
          </cell>
          <cell r="BE32">
            <v>21</v>
          </cell>
          <cell r="BF32">
            <v>32</v>
          </cell>
          <cell r="BG32">
            <v>35</v>
          </cell>
          <cell r="BH32">
            <v>176</v>
          </cell>
          <cell r="BI32">
            <v>0</v>
          </cell>
          <cell r="BJ32">
            <v>0</v>
          </cell>
          <cell r="BK32">
            <v>0</v>
          </cell>
          <cell r="BL32">
            <v>12</v>
          </cell>
          <cell r="BM32">
            <v>12</v>
          </cell>
          <cell r="BN32">
            <v>0</v>
          </cell>
          <cell r="BO32">
            <v>60</v>
          </cell>
          <cell r="BP32">
            <v>60</v>
          </cell>
          <cell r="BQ32">
            <v>42</v>
          </cell>
          <cell r="BR32">
            <v>42</v>
          </cell>
          <cell r="BS32">
            <v>0</v>
          </cell>
          <cell r="BT32">
            <v>0</v>
          </cell>
          <cell r="BU32">
            <v>850</v>
          </cell>
        </row>
        <row r="33">
          <cell r="C33">
            <v>15</v>
          </cell>
          <cell r="D33">
            <v>15</v>
          </cell>
          <cell r="E33">
            <v>15</v>
          </cell>
          <cell r="F33">
            <v>15</v>
          </cell>
          <cell r="G33">
            <v>23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8</v>
          </cell>
          <cell r="M33">
            <v>0</v>
          </cell>
          <cell r="N33">
            <v>0</v>
          </cell>
          <cell r="O33">
            <v>23</v>
          </cell>
          <cell r="P33">
            <v>23</v>
          </cell>
          <cell r="Q33">
            <v>8</v>
          </cell>
          <cell r="R33">
            <v>0</v>
          </cell>
          <cell r="S33">
            <v>25</v>
          </cell>
          <cell r="T33">
            <v>15</v>
          </cell>
          <cell r="U33">
            <v>15</v>
          </cell>
          <cell r="V33">
            <v>15</v>
          </cell>
          <cell r="W33">
            <v>8</v>
          </cell>
          <cell r="X33">
            <v>15</v>
          </cell>
          <cell r="Y33">
            <v>0</v>
          </cell>
          <cell r="Z33">
            <v>15</v>
          </cell>
          <cell r="AA33">
            <v>15</v>
          </cell>
          <cell r="AB33">
            <v>0</v>
          </cell>
          <cell r="AC33">
            <v>15</v>
          </cell>
          <cell r="AD33">
            <v>23</v>
          </cell>
          <cell r="AE33">
            <v>25</v>
          </cell>
          <cell r="AF33">
            <v>15</v>
          </cell>
          <cell r="AG33">
            <v>8</v>
          </cell>
          <cell r="AH33">
            <v>0</v>
          </cell>
          <cell r="AI33">
            <v>0</v>
          </cell>
          <cell r="AJ33">
            <v>15</v>
          </cell>
          <cell r="AK33">
            <v>0</v>
          </cell>
          <cell r="AL33">
            <v>8</v>
          </cell>
          <cell r="AM33">
            <v>0</v>
          </cell>
          <cell r="AN33">
            <v>15</v>
          </cell>
          <cell r="AO33">
            <v>23</v>
          </cell>
          <cell r="AP33">
            <v>25</v>
          </cell>
          <cell r="AQ33">
            <v>0</v>
          </cell>
          <cell r="AR33">
            <v>0</v>
          </cell>
          <cell r="AS33">
            <v>15</v>
          </cell>
          <cell r="AT33">
            <v>8</v>
          </cell>
          <cell r="AU33">
            <v>15</v>
          </cell>
          <cell r="AV33">
            <v>15</v>
          </cell>
          <cell r="AW33">
            <v>0</v>
          </cell>
          <cell r="AX33">
            <v>25</v>
          </cell>
          <cell r="AY33">
            <v>518</v>
          </cell>
          <cell r="AZ33">
            <v>0</v>
          </cell>
          <cell r="BA33">
            <v>0</v>
          </cell>
          <cell r="BB33">
            <v>21</v>
          </cell>
          <cell r="BC33">
            <v>11</v>
          </cell>
          <cell r="BD33">
            <v>21</v>
          </cell>
          <cell r="BE33">
            <v>21</v>
          </cell>
          <cell r="BF33">
            <v>21</v>
          </cell>
          <cell r="BG33">
            <v>11</v>
          </cell>
          <cell r="BH33">
            <v>106</v>
          </cell>
          <cell r="BI33">
            <v>12</v>
          </cell>
          <cell r="BJ33">
            <v>0</v>
          </cell>
          <cell r="BK33">
            <v>0</v>
          </cell>
          <cell r="BL33">
            <v>24</v>
          </cell>
          <cell r="BM33">
            <v>36</v>
          </cell>
          <cell r="BN33">
            <v>18</v>
          </cell>
          <cell r="BO33">
            <v>18</v>
          </cell>
          <cell r="BP33">
            <v>36</v>
          </cell>
          <cell r="BQ33">
            <v>0</v>
          </cell>
          <cell r="BR33">
            <v>0</v>
          </cell>
          <cell r="BS33">
            <v>48</v>
          </cell>
          <cell r="BT33">
            <v>48</v>
          </cell>
          <cell r="BU33">
            <v>744</v>
          </cell>
        </row>
        <row r="34">
          <cell r="C34">
            <v>23</v>
          </cell>
          <cell r="D34">
            <v>15</v>
          </cell>
          <cell r="E34">
            <v>0</v>
          </cell>
          <cell r="F34">
            <v>8</v>
          </cell>
          <cell r="G34">
            <v>23</v>
          </cell>
          <cell r="H34">
            <v>8</v>
          </cell>
          <cell r="I34">
            <v>0</v>
          </cell>
          <cell r="J34">
            <v>15</v>
          </cell>
          <cell r="K34">
            <v>0</v>
          </cell>
          <cell r="L34">
            <v>8</v>
          </cell>
          <cell r="M34">
            <v>8</v>
          </cell>
          <cell r="N34">
            <v>15</v>
          </cell>
          <cell r="O34">
            <v>25</v>
          </cell>
          <cell r="P34">
            <v>23</v>
          </cell>
          <cell r="Q34">
            <v>0</v>
          </cell>
          <cell r="R34">
            <v>0</v>
          </cell>
          <cell r="S34">
            <v>8</v>
          </cell>
          <cell r="T34">
            <v>23</v>
          </cell>
          <cell r="U34">
            <v>23</v>
          </cell>
          <cell r="V34">
            <v>23</v>
          </cell>
          <cell r="W34">
            <v>15</v>
          </cell>
          <cell r="X34">
            <v>0</v>
          </cell>
          <cell r="Y34">
            <v>23</v>
          </cell>
          <cell r="Z34">
            <v>23</v>
          </cell>
          <cell r="AA34">
            <v>0</v>
          </cell>
          <cell r="AB34">
            <v>25</v>
          </cell>
          <cell r="AC34">
            <v>23</v>
          </cell>
          <cell r="AD34">
            <v>15</v>
          </cell>
          <cell r="AE34">
            <v>23</v>
          </cell>
          <cell r="AF34">
            <v>15</v>
          </cell>
          <cell r="AG34">
            <v>15</v>
          </cell>
          <cell r="AH34">
            <v>15</v>
          </cell>
          <cell r="AI34">
            <v>23</v>
          </cell>
          <cell r="AJ34">
            <v>0</v>
          </cell>
          <cell r="AK34">
            <v>0</v>
          </cell>
          <cell r="AL34">
            <v>0</v>
          </cell>
          <cell r="AM34">
            <v>8</v>
          </cell>
          <cell r="AN34">
            <v>23</v>
          </cell>
          <cell r="AO34">
            <v>15</v>
          </cell>
          <cell r="AP34">
            <v>25</v>
          </cell>
          <cell r="AQ34">
            <v>0</v>
          </cell>
          <cell r="AR34">
            <v>0</v>
          </cell>
          <cell r="AS34">
            <v>15</v>
          </cell>
          <cell r="AT34">
            <v>8</v>
          </cell>
          <cell r="AU34">
            <v>25</v>
          </cell>
          <cell r="AV34">
            <v>15</v>
          </cell>
          <cell r="AW34">
            <v>15</v>
          </cell>
          <cell r="AX34">
            <v>0</v>
          </cell>
          <cell r="AY34">
            <v>612</v>
          </cell>
          <cell r="AZ34">
            <v>21</v>
          </cell>
          <cell r="BA34">
            <v>11</v>
          </cell>
          <cell r="BB34">
            <v>0</v>
          </cell>
          <cell r="BC34">
            <v>11</v>
          </cell>
          <cell r="BD34">
            <v>21</v>
          </cell>
          <cell r="BE34">
            <v>21</v>
          </cell>
          <cell r="BF34">
            <v>21</v>
          </cell>
          <cell r="BG34">
            <v>11</v>
          </cell>
          <cell r="BH34">
            <v>117</v>
          </cell>
          <cell r="BI34">
            <v>36</v>
          </cell>
          <cell r="BJ34">
            <v>12</v>
          </cell>
          <cell r="BK34">
            <v>0</v>
          </cell>
          <cell r="BL34">
            <v>12</v>
          </cell>
          <cell r="BM34">
            <v>60</v>
          </cell>
          <cell r="BN34">
            <v>18</v>
          </cell>
          <cell r="BO34">
            <v>18</v>
          </cell>
          <cell r="BP34">
            <v>36</v>
          </cell>
          <cell r="BQ34">
            <v>42</v>
          </cell>
          <cell r="BR34">
            <v>42</v>
          </cell>
          <cell r="BS34">
            <v>24</v>
          </cell>
          <cell r="BT34">
            <v>24</v>
          </cell>
          <cell r="BU34">
            <v>891</v>
          </cell>
        </row>
        <row r="35">
          <cell r="C35">
            <v>23</v>
          </cell>
          <cell r="D35">
            <v>15</v>
          </cell>
          <cell r="E35">
            <v>0</v>
          </cell>
          <cell r="F35">
            <v>8</v>
          </cell>
          <cell r="G35">
            <v>15</v>
          </cell>
          <cell r="H35">
            <v>8</v>
          </cell>
          <cell r="I35">
            <v>0</v>
          </cell>
          <cell r="J35">
            <v>23</v>
          </cell>
          <cell r="K35">
            <v>8</v>
          </cell>
          <cell r="L35">
            <v>0</v>
          </cell>
          <cell r="M35">
            <v>0</v>
          </cell>
          <cell r="N35">
            <v>25</v>
          </cell>
          <cell r="O35">
            <v>15</v>
          </cell>
          <cell r="P35">
            <v>15</v>
          </cell>
          <cell r="Q35">
            <v>8</v>
          </cell>
          <cell r="R35">
            <v>0</v>
          </cell>
          <cell r="S35">
            <v>0</v>
          </cell>
          <cell r="T35">
            <v>23</v>
          </cell>
          <cell r="U35">
            <v>23</v>
          </cell>
          <cell r="V35">
            <v>23</v>
          </cell>
          <cell r="W35">
            <v>23</v>
          </cell>
          <cell r="X35">
            <v>8</v>
          </cell>
          <cell r="Y35">
            <v>0</v>
          </cell>
          <cell r="Z35">
            <v>15</v>
          </cell>
          <cell r="AA35">
            <v>8</v>
          </cell>
          <cell r="AB35">
            <v>15</v>
          </cell>
          <cell r="AC35">
            <v>15</v>
          </cell>
          <cell r="AD35">
            <v>25</v>
          </cell>
          <cell r="AE35">
            <v>25</v>
          </cell>
          <cell r="AF35">
            <v>0</v>
          </cell>
          <cell r="AG35">
            <v>0</v>
          </cell>
          <cell r="AH35">
            <v>15</v>
          </cell>
          <cell r="AI35">
            <v>23</v>
          </cell>
          <cell r="AJ35">
            <v>8</v>
          </cell>
          <cell r="AK35">
            <v>0</v>
          </cell>
          <cell r="AL35">
            <v>0</v>
          </cell>
          <cell r="AM35">
            <v>0</v>
          </cell>
          <cell r="AN35">
            <v>23</v>
          </cell>
          <cell r="AO35">
            <v>15</v>
          </cell>
          <cell r="AP35">
            <v>15</v>
          </cell>
          <cell r="AQ35">
            <v>0</v>
          </cell>
          <cell r="AR35">
            <v>0</v>
          </cell>
          <cell r="AS35">
            <v>23</v>
          </cell>
          <cell r="AT35">
            <v>25</v>
          </cell>
          <cell r="AU35">
            <v>8</v>
          </cell>
          <cell r="AV35">
            <v>25</v>
          </cell>
          <cell r="AW35">
            <v>15</v>
          </cell>
          <cell r="AX35">
            <v>0</v>
          </cell>
          <cell r="AY35">
            <v>561</v>
          </cell>
          <cell r="AZ35">
            <v>21</v>
          </cell>
          <cell r="BA35">
            <v>11</v>
          </cell>
          <cell r="BB35">
            <v>0</v>
          </cell>
          <cell r="BC35">
            <v>11</v>
          </cell>
          <cell r="BD35">
            <v>32</v>
          </cell>
          <cell r="BE35">
            <v>21</v>
          </cell>
          <cell r="BF35">
            <v>32</v>
          </cell>
          <cell r="BG35">
            <v>11</v>
          </cell>
          <cell r="BH35">
            <v>139</v>
          </cell>
          <cell r="BI35">
            <v>36</v>
          </cell>
          <cell r="BJ35">
            <v>12</v>
          </cell>
          <cell r="BK35">
            <v>0</v>
          </cell>
          <cell r="BL35">
            <v>12</v>
          </cell>
          <cell r="BM35">
            <v>60</v>
          </cell>
          <cell r="BN35">
            <v>0</v>
          </cell>
          <cell r="BO35">
            <v>18</v>
          </cell>
          <cell r="BP35">
            <v>18</v>
          </cell>
          <cell r="BQ35">
            <v>63</v>
          </cell>
          <cell r="BR35">
            <v>63</v>
          </cell>
          <cell r="BS35">
            <v>48</v>
          </cell>
          <cell r="BT35">
            <v>48</v>
          </cell>
          <cell r="BU35">
            <v>889</v>
          </cell>
        </row>
        <row r="36">
          <cell r="C36">
            <v>15</v>
          </cell>
          <cell r="D36">
            <v>15</v>
          </cell>
          <cell r="E36">
            <v>0</v>
          </cell>
          <cell r="F36">
            <v>0</v>
          </cell>
          <cell r="G36">
            <v>23</v>
          </cell>
          <cell r="H36">
            <v>8</v>
          </cell>
          <cell r="I36">
            <v>8</v>
          </cell>
          <cell r="J36">
            <v>0</v>
          </cell>
          <cell r="K36">
            <v>0</v>
          </cell>
          <cell r="L36">
            <v>8</v>
          </cell>
          <cell r="M36">
            <v>0</v>
          </cell>
          <cell r="N36">
            <v>23</v>
          </cell>
          <cell r="O36">
            <v>25</v>
          </cell>
          <cell r="P36">
            <v>15</v>
          </cell>
          <cell r="Q36">
            <v>0</v>
          </cell>
          <cell r="R36">
            <v>0</v>
          </cell>
          <cell r="S36">
            <v>8</v>
          </cell>
          <cell r="T36">
            <v>23</v>
          </cell>
          <cell r="U36">
            <v>23</v>
          </cell>
          <cell r="V36">
            <v>23</v>
          </cell>
          <cell r="W36">
            <v>23</v>
          </cell>
          <cell r="X36">
            <v>0</v>
          </cell>
          <cell r="Y36">
            <v>0</v>
          </cell>
          <cell r="Z36">
            <v>23</v>
          </cell>
          <cell r="AA36">
            <v>25</v>
          </cell>
          <cell r="AB36">
            <v>8</v>
          </cell>
          <cell r="AC36">
            <v>15</v>
          </cell>
          <cell r="AD36">
            <v>25</v>
          </cell>
          <cell r="AE36">
            <v>0</v>
          </cell>
          <cell r="AF36">
            <v>15</v>
          </cell>
          <cell r="AG36">
            <v>15</v>
          </cell>
          <cell r="AH36">
            <v>15</v>
          </cell>
          <cell r="AI36">
            <v>15</v>
          </cell>
          <cell r="AJ36">
            <v>0</v>
          </cell>
          <cell r="AK36">
            <v>8</v>
          </cell>
          <cell r="AL36">
            <v>8</v>
          </cell>
          <cell r="AM36">
            <v>8</v>
          </cell>
          <cell r="AN36">
            <v>25</v>
          </cell>
          <cell r="AO36">
            <v>15</v>
          </cell>
          <cell r="AP36">
            <v>8</v>
          </cell>
          <cell r="AQ36">
            <v>0</v>
          </cell>
          <cell r="AR36">
            <v>23</v>
          </cell>
          <cell r="AS36">
            <v>23</v>
          </cell>
          <cell r="AT36">
            <v>8</v>
          </cell>
          <cell r="AU36">
            <v>0</v>
          </cell>
          <cell r="AV36">
            <v>15</v>
          </cell>
          <cell r="AW36">
            <v>0</v>
          </cell>
          <cell r="AX36">
            <v>8</v>
          </cell>
          <cell r="AY36">
            <v>545</v>
          </cell>
          <cell r="AZ36">
            <v>21</v>
          </cell>
          <cell r="BA36">
            <v>11</v>
          </cell>
          <cell r="BB36">
            <v>0</v>
          </cell>
          <cell r="BC36">
            <v>11</v>
          </cell>
          <cell r="BD36">
            <v>32</v>
          </cell>
          <cell r="BE36">
            <v>11</v>
          </cell>
          <cell r="BF36">
            <v>32</v>
          </cell>
          <cell r="BG36">
            <v>11</v>
          </cell>
          <cell r="BH36">
            <v>129</v>
          </cell>
          <cell r="BI36">
            <v>40</v>
          </cell>
          <cell r="BJ36">
            <v>0</v>
          </cell>
          <cell r="BK36">
            <v>12</v>
          </cell>
          <cell r="BL36">
            <v>12</v>
          </cell>
          <cell r="BM36">
            <v>64</v>
          </cell>
          <cell r="BN36">
            <v>18</v>
          </cell>
          <cell r="BO36">
            <v>18</v>
          </cell>
          <cell r="BP36">
            <v>36</v>
          </cell>
          <cell r="BQ36">
            <v>0</v>
          </cell>
          <cell r="BR36">
            <v>0</v>
          </cell>
          <cell r="BS36">
            <v>72</v>
          </cell>
          <cell r="BT36">
            <v>72</v>
          </cell>
          <cell r="BU36">
            <v>846</v>
          </cell>
        </row>
        <row r="37">
          <cell r="C37">
            <v>8</v>
          </cell>
          <cell r="D37">
            <v>15</v>
          </cell>
          <cell r="E37">
            <v>15</v>
          </cell>
          <cell r="F37">
            <v>8</v>
          </cell>
          <cell r="G37">
            <v>23</v>
          </cell>
          <cell r="H37">
            <v>0</v>
          </cell>
          <cell r="I37">
            <v>15</v>
          </cell>
          <cell r="J37">
            <v>0</v>
          </cell>
          <cell r="K37">
            <v>8</v>
          </cell>
          <cell r="L37">
            <v>8</v>
          </cell>
          <cell r="M37">
            <v>0</v>
          </cell>
          <cell r="N37">
            <v>15</v>
          </cell>
          <cell r="O37">
            <v>23</v>
          </cell>
          <cell r="P37">
            <v>15</v>
          </cell>
          <cell r="Q37">
            <v>0</v>
          </cell>
          <cell r="R37">
            <v>0</v>
          </cell>
          <cell r="S37">
            <v>0</v>
          </cell>
          <cell r="T37">
            <v>23</v>
          </cell>
          <cell r="U37">
            <v>15</v>
          </cell>
          <cell r="V37">
            <v>15</v>
          </cell>
          <cell r="W37">
            <v>15</v>
          </cell>
          <cell r="X37">
            <v>15</v>
          </cell>
          <cell r="Y37">
            <v>0</v>
          </cell>
          <cell r="Z37">
            <v>23</v>
          </cell>
          <cell r="AA37">
            <v>0</v>
          </cell>
          <cell r="AB37">
            <v>8</v>
          </cell>
          <cell r="AC37">
            <v>15</v>
          </cell>
          <cell r="AD37">
            <v>23</v>
          </cell>
          <cell r="AE37">
            <v>15</v>
          </cell>
          <cell r="AF37">
            <v>15</v>
          </cell>
          <cell r="AG37">
            <v>15</v>
          </cell>
          <cell r="AH37">
            <v>23</v>
          </cell>
          <cell r="AI37">
            <v>23</v>
          </cell>
          <cell r="AJ37">
            <v>8</v>
          </cell>
          <cell r="AK37">
            <v>0</v>
          </cell>
          <cell r="AL37">
            <v>8</v>
          </cell>
          <cell r="AM37">
            <v>0</v>
          </cell>
          <cell r="AN37">
            <v>23</v>
          </cell>
          <cell r="AO37">
            <v>0</v>
          </cell>
          <cell r="AP37">
            <v>23</v>
          </cell>
          <cell r="AQ37">
            <v>0</v>
          </cell>
          <cell r="AR37">
            <v>0</v>
          </cell>
          <cell r="AS37">
            <v>23</v>
          </cell>
          <cell r="AT37">
            <v>8</v>
          </cell>
          <cell r="AU37">
            <v>15</v>
          </cell>
          <cell r="AV37">
            <v>15</v>
          </cell>
          <cell r="AW37">
            <v>8</v>
          </cell>
          <cell r="AX37">
            <v>8</v>
          </cell>
          <cell r="AY37">
            <v>535</v>
          </cell>
          <cell r="AZ37">
            <v>21</v>
          </cell>
          <cell r="BA37">
            <v>0</v>
          </cell>
          <cell r="BB37">
            <v>11</v>
          </cell>
          <cell r="BC37">
            <v>0</v>
          </cell>
          <cell r="BD37">
            <v>21</v>
          </cell>
          <cell r="BE37">
            <v>21</v>
          </cell>
          <cell r="BF37">
            <v>32</v>
          </cell>
          <cell r="BG37">
            <v>11</v>
          </cell>
          <cell r="BH37">
            <v>117</v>
          </cell>
          <cell r="BI37">
            <v>36</v>
          </cell>
          <cell r="BJ37">
            <v>0</v>
          </cell>
          <cell r="BK37">
            <v>36</v>
          </cell>
          <cell r="BL37">
            <v>40</v>
          </cell>
          <cell r="BM37">
            <v>112</v>
          </cell>
          <cell r="BN37">
            <v>18</v>
          </cell>
          <cell r="BO37">
            <v>36</v>
          </cell>
          <cell r="BP37">
            <v>54</v>
          </cell>
          <cell r="BQ37">
            <v>0</v>
          </cell>
          <cell r="BR37">
            <v>0</v>
          </cell>
          <cell r="BS37">
            <v>48</v>
          </cell>
          <cell r="BT37">
            <v>48</v>
          </cell>
          <cell r="BU37">
            <v>866</v>
          </cell>
        </row>
        <row r="38">
          <cell r="C38">
            <v>23</v>
          </cell>
          <cell r="D38">
            <v>15</v>
          </cell>
          <cell r="E38">
            <v>8</v>
          </cell>
          <cell r="F38">
            <v>8</v>
          </cell>
          <cell r="G38">
            <v>15</v>
          </cell>
          <cell r="H38">
            <v>25</v>
          </cell>
          <cell r="I38">
            <v>0</v>
          </cell>
          <cell r="J38">
            <v>8</v>
          </cell>
          <cell r="K38">
            <v>8</v>
          </cell>
          <cell r="L38">
            <v>0</v>
          </cell>
          <cell r="M38">
            <v>8</v>
          </cell>
          <cell r="N38">
            <v>23</v>
          </cell>
          <cell r="O38">
            <v>23</v>
          </cell>
          <cell r="P38">
            <v>15</v>
          </cell>
          <cell r="Q38">
            <v>0</v>
          </cell>
          <cell r="R38">
            <v>0</v>
          </cell>
          <cell r="S38">
            <v>0</v>
          </cell>
          <cell r="T38">
            <v>23</v>
          </cell>
          <cell r="U38">
            <v>23</v>
          </cell>
          <cell r="V38">
            <v>23</v>
          </cell>
          <cell r="W38">
            <v>15</v>
          </cell>
          <cell r="X38">
            <v>8</v>
          </cell>
          <cell r="Y38">
            <v>0</v>
          </cell>
          <cell r="Z38">
            <v>25</v>
          </cell>
          <cell r="AA38">
            <v>0</v>
          </cell>
          <cell r="AB38">
            <v>8</v>
          </cell>
          <cell r="AC38">
            <v>23</v>
          </cell>
          <cell r="AD38">
            <v>23</v>
          </cell>
          <cell r="AE38">
            <v>15</v>
          </cell>
          <cell r="AF38">
            <v>23</v>
          </cell>
          <cell r="AG38">
            <v>25</v>
          </cell>
          <cell r="AH38">
            <v>23</v>
          </cell>
          <cell r="AI38">
            <v>23</v>
          </cell>
          <cell r="AJ38">
            <v>0</v>
          </cell>
          <cell r="AK38">
            <v>0</v>
          </cell>
          <cell r="AL38">
            <v>8</v>
          </cell>
          <cell r="AM38">
            <v>0</v>
          </cell>
          <cell r="AN38">
            <v>25</v>
          </cell>
          <cell r="AO38">
            <v>0</v>
          </cell>
          <cell r="AP38">
            <v>23</v>
          </cell>
          <cell r="AQ38">
            <v>0</v>
          </cell>
          <cell r="AR38">
            <v>15</v>
          </cell>
          <cell r="AS38">
            <v>23</v>
          </cell>
          <cell r="AT38">
            <v>0</v>
          </cell>
          <cell r="AU38">
            <v>25</v>
          </cell>
          <cell r="AV38">
            <v>15</v>
          </cell>
          <cell r="AW38">
            <v>15</v>
          </cell>
          <cell r="AX38">
            <v>0</v>
          </cell>
          <cell r="AY38">
            <v>608</v>
          </cell>
          <cell r="AZ38">
            <v>32</v>
          </cell>
          <cell r="BA38">
            <v>11</v>
          </cell>
          <cell r="BB38">
            <v>0</v>
          </cell>
          <cell r="BC38">
            <v>35</v>
          </cell>
          <cell r="BD38">
            <v>32</v>
          </cell>
          <cell r="BE38">
            <v>32</v>
          </cell>
          <cell r="BF38">
            <v>32</v>
          </cell>
          <cell r="BG38">
            <v>21</v>
          </cell>
          <cell r="BH38">
            <v>195</v>
          </cell>
          <cell r="BI38">
            <v>36</v>
          </cell>
          <cell r="BJ38">
            <v>12</v>
          </cell>
          <cell r="BK38">
            <v>0</v>
          </cell>
          <cell r="BL38">
            <v>24</v>
          </cell>
          <cell r="BM38">
            <v>72</v>
          </cell>
          <cell r="BN38">
            <v>0</v>
          </cell>
          <cell r="BO38">
            <v>18</v>
          </cell>
          <cell r="BP38">
            <v>18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893</v>
          </cell>
        </row>
        <row r="39">
          <cell r="C39">
            <v>23</v>
          </cell>
          <cell r="D39">
            <v>15</v>
          </cell>
          <cell r="E39">
            <v>8</v>
          </cell>
          <cell r="F39">
            <v>0</v>
          </cell>
          <cell r="G39">
            <v>23</v>
          </cell>
          <cell r="H39">
            <v>0</v>
          </cell>
          <cell r="I39">
            <v>8</v>
          </cell>
          <cell r="J39">
            <v>0</v>
          </cell>
          <cell r="K39">
            <v>0</v>
          </cell>
          <cell r="L39">
            <v>8</v>
          </cell>
          <cell r="M39">
            <v>8</v>
          </cell>
          <cell r="N39">
            <v>23</v>
          </cell>
          <cell r="O39">
            <v>23</v>
          </cell>
          <cell r="P39">
            <v>15</v>
          </cell>
          <cell r="Q39">
            <v>8</v>
          </cell>
          <cell r="R39">
            <v>0</v>
          </cell>
          <cell r="S39">
            <v>8</v>
          </cell>
          <cell r="T39">
            <v>23</v>
          </cell>
          <cell r="U39">
            <v>23</v>
          </cell>
          <cell r="V39">
            <v>23</v>
          </cell>
          <cell r="W39">
            <v>15</v>
          </cell>
          <cell r="X39">
            <v>8</v>
          </cell>
          <cell r="Y39">
            <v>0</v>
          </cell>
          <cell r="Z39">
            <v>23</v>
          </cell>
          <cell r="AA39">
            <v>23</v>
          </cell>
          <cell r="AB39">
            <v>15</v>
          </cell>
          <cell r="AC39">
            <v>15</v>
          </cell>
          <cell r="AD39">
            <v>23</v>
          </cell>
          <cell r="AE39">
            <v>23</v>
          </cell>
          <cell r="AF39">
            <v>15</v>
          </cell>
          <cell r="AG39">
            <v>15</v>
          </cell>
          <cell r="AH39">
            <v>23</v>
          </cell>
          <cell r="AI39">
            <v>15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23</v>
          </cell>
          <cell r="AO39">
            <v>25</v>
          </cell>
          <cell r="AP39">
            <v>25</v>
          </cell>
          <cell r="AQ39">
            <v>0</v>
          </cell>
          <cell r="AR39">
            <v>0</v>
          </cell>
          <cell r="AS39">
            <v>23</v>
          </cell>
          <cell r="AT39">
            <v>8</v>
          </cell>
          <cell r="AU39">
            <v>23</v>
          </cell>
          <cell r="AV39">
            <v>25</v>
          </cell>
          <cell r="AW39">
            <v>8</v>
          </cell>
          <cell r="AX39">
            <v>8</v>
          </cell>
          <cell r="AY39">
            <v>620</v>
          </cell>
          <cell r="AZ39">
            <v>21</v>
          </cell>
          <cell r="BA39">
            <v>11</v>
          </cell>
          <cell r="BB39">
            <v>0</v>
          </cell>
          <cell r="BC39">
            <v>11</v>
          </cell>
          <cell r="BD39">
            <v>32</v>
          </cell>
          <cell r="BE39">
            <v>21</v>
          </cell>
          <cell r="BF39">
            <v>32</v>
          </cell>
          <cell r="BG39">
            <v>35</v>
          </cell>
          <cell r="BH39">
            <v>163</v>
          </cell>
          <cell r="BI39">
            <v>36</v>
          </cell>
          <cell r="BJ39">
            <v>0</v>
          </cell>
          <cell r="BK39">
            <v>0</v>
          </cell>
          <cell r="BL39">
            <v>12</v>
          </cell>
          <cell r="BM39">
            <v>48</v>
          </cell>
          <cell r="BN39">
            <v>0</v>
          </cell>
          <cell r="BO39">
            <v>18</v>
          </cell>
          <cell r="BP39">
            <v>18</v>
          </cell>
          <cell r="BQ39">
            <v>0</v>
          </cell>
          <cell r="BR39">
            <v>0</v>
          </cell>
          <cell r="BS39">
            <v>48</v>
          </cell>
          <cell r="BT39">
            <v>48</v>
          </cell>
          <cell r="BU39">
            <v>897</v>
          </cell>
        </row>
        <row r="40">
          <cell r="C40">
            <v>23</v>
          </cell>
          <cell r="D40">
            <v>15</v>
          </cell>
          <cell r="E40">
            <v>25</v>
          </cell>
          <cell r="F40">
            <v>0</v>
          </cell>
          <cell r="G40">
            <v>15</v>
          </cell>
          <cell r="H40">
            <v>0</v>
          </cell>
          <cell r="I40">
            <v>8</v>
          </cell>
          <cell r="J40">
            <v>15</v>
          </cell>
          <cell r="K40">
            <v>0</v>
          </cell>
          <cell r="L40">
            <v>8</v>
          </cell>
          <cell r="M40">
            <v>0</v>
          </cell>
          <cell r="N40">
            <v>25</v>
          </cell>
          <cell r="O40">
            <v>23</v>
          </cell>
          <cell r="P40">
            <v>25</v>
          </cell>
          <cell r="Q40">
            <v>8</v>
          </cell>
          <cell r="R40">
            <v>0</v>
          </cell>
          <cell r="S40">
            <v>0</v>
          </cell>
          <cell r="T40">
            <v>23</v>
          </cell>
          <cell r="U40">
            <v>23</v>
          </cell>
          <cell r="V40">
            <v>23</v>
          </cell>
          <cell r="W40">
            <v>15</v>
          </cell>
          <cell r="X40">
            <v>8</v>
          </cell>
          <cell r="Y40">
            <v>0</v>
          </cell>
          <cell r="Z40">
            <v>15</v>
          </cell>
          <cell r="AA40">
            <v>0</v>
          </cell>
          <cell r="AB40">
            <v>23</v>
          </cell>
          <cell r="AC40">
            <v>15</v>
          </cell>
          <cell r="AD40">
            <v>15</v>
          </cell>
          <cell r="AE40">
            <v>25</v>
          </cell>
          <cell r="AF40">
            <v>15</v>
          </cell>
          <cell r="AG40">
            <v>15</v>
          </cell>
          <cell r="AH40">
            <v>23</v>
          </cell>
          <cell r="AI40">
            <v>0</v>
          </cell>
          <cell r="AJ40">
            <v>0</v>
          </cell>
          <cell r="AK40">
            <v>0</v>
          </cell>
          <cell r="AL40">
            <v>8</v>
          </cell>
          <cell r="AM40">
            <v>8</v>
          </cell>
          <cell r="AN40">
            <v>25</v>
          </cell>
          <cell r="AO40">
            <v>15</v>
          </cell>
          <cell r="AP40">
            <v>23</v>
          </cell>
          <cell r="AQ40">
            <v>0</v>
          </cell>
          <cell r="AR40">
            <v>0</v>
          </cell>
          <cell r="AS40">
            <v>23</v>
          </cell>
          <cell r="AT40">
            <v>8</v>
          </cell>
          <cell r="AU40">
            <v>23</v>
          </cell>
          <cell r="AV40">
            <v>23</v>
          </cell>
          <cell r="AW40">
            <v>15</v>
          </cell>
          <cell r="AX40">
            <v>25</v>
          </cell>
          <cell r="AY40">
            <v>624</v>
          </cell>
          <cell r="AZ40">
            <v>21</v>
          </cell>
          <cell r="BA40">
            <v>11</v>
          </cell>
          <cell r="BB40">
            <v>11</v>
          </cell>
          <cell r="BC40">
            <v>21</v>
          </cell>
          <cell r="BD40">
            <v>35</v>
          </cell>
          <cell r="BE40">
            <v>32</v>
          </cell>
          <cell r="BF40">
            <v>32</v>
          </cell>
          <cell r="BG40">
            <v>21</v>
          </cell>
          <cell r="BH40">
            <v>184</v>
          </cell>
          <cell r="BI40">
            <v>36</v>
          </cell>
          <cell r="BJ40">
            <v>0</v>
          </cell>
          <cell r="BK40">
            <v>0</v>
          </cell>
          <cell r="BL40">
            <v>12</v>
          </cell>
          <cell r="BM40">
            <v>48</v>
          </cell>
          <cell r="BN40">
            <v>18</v>
          </cell>
          <cell r="BO40">
            <v>18</v>
          </cell>
          <cell r="BP40">
            <v>36</v>
          </cell>
          <cell r="BQ40">
            <v>0</v>
          </cell>
          <cell r="BR40">
            <v>0</v>
          </cell>
          <cell r="BS40">
            <v>24</v>
          </cell>
          <cell r="BT40">
            <v>24</v>
          </cell>
          <cell r="BU40">
            <v>916</v>
          </cell>
        </row>
        <row r="41">
          <cell r="C41">
            <v>23</v>
          </cell>
          <cell r="D41">
            <v>8</v>
          </cell>
          <cell r="E41">
            <v>0</v>
          </cell>
          <cell r="F41">
            <v>8</v>
          </cell>
          <cell r="G41">
            <v>23</v>
          </cell>
          <cell r="H41">
            <v>8</v>
          </cell>
          <cell r="I41">
            <v>0</v>
          </cell>
          <cell r="J41">
            <v>25</v>
          </cell>
          <cell r="K41">
            <v>8</v>
          </cell>
          <cell r="L41">
            <v>0</v>
          </cell>
          <cell r="M41">
            <v>0</v>
          </cell>
          <cell r="N41">
            <v>23</v>
          </cell>
          <cell r="O41">
            <v>25</v>
          </cell>
          <cell r="P41">
            <v>15</v>
          </cell>
          <cell r="Q41">
            <v>0</v>
          </cell>
          <cell r="R41">
            <v>0</v>
          </cell>
          <cell r="S41">
            <v>8</v>
          </cell>
          <cell r="T41">
            <v>23</v>
          </cell>
          <cell r="U41">
            <v>23</v>
          </cell>
          <cell r="V41">
            <v>23</v>
          </cell>
          <cell r="W41">
            <v>23</v>
          </cell>
          <cell r="X41">
            <v>8</v>
          </cell>
          <cell r="Y41">
            <v>0</v>
          </cell>
          <cell r="Z41">
            <v>25</v>
          </cell>
          <cell r="AA41">
            <v>0</v>
          </cell>
          <cell r="AB41">
            <v>15</v>
          </cell>
          <cell r="AC41">
            <v>15</v>
          </cell>
          <cell r="AD41">
            <v>23</v>
          </cell>
          <cell r="AE41">
            <v>23</v>
          </cell>
          <cell r="AF41">
            <v>15</v>
          </cell>
          <cell r="AG41">
            <v>15</v>
          </cell>
          <cell r="AH41">
            <v>15</v>
          </cell>
          <cell r="AI41">
            <v>23</v>
          </cell>
          <cell r="AJ41">
            <v>0</v>
          </cell>
          <cell r="AK41">
            <v>8</v>
          </cell>
          <cell r="AL41">
            <v>0</v>
          </cell>
          <cell r="AM41">
            <v>8</v>
          </cell>
          <cell r="AN41">
            <v>23</v>
          </cell>
          <cell r="AO41">
            <v>8</v>
          </cell>
          <cell r="AP41">
            <v>25</v>
          </cell>
          <cell r="AQ41">
            <v>0</v>
          </cell>
          <cell r="AR41">
            <v>15</v>
          </cell>
          <cell r="AS41">
            <v>23</v>
          </cell>
          <cell r="AT41">
            <v>0</v>
          </cell>
          <cell r="AU41">
            <v>15</v>
          </cell>
          <cell r="AV41">
            <v>15</v>
          </cell>
          <cell r="AW41">
            <v>0</v>
          </cell>
          <cell r="AX41">
            <v>8</v>
          </cell>
          <cell r="AY41">
            <v>591</v>
          </cell>
          <cell r="AZ41">
            <v>21</v>
          </cell>
          <cell r="BA41">
            <v>35</v>
          </cell>
          <cell r="BB41">
            <v>11</v>
          </cell>
          <cell r="BC41">
            <v>11</v>
          </cell>
          <cell r="BD41">
            <v>32</v>
          </cell>
          <cell r="BE41">
            <v>21</v>
          </cell>
          <cell r="BF41">
            <v>21</v>
          </cell>
          <cell r="BG41">
            <v>11</v>
          </cell>
          <cell r="BH41">
            <v>163</v>
          </cell>
          <cell r="BI41">
            <v>40</v>
          </cell>
          <cell r="BJ41">
            <v>12</v>
          </cell>
          <cell r="BK41">
            <v>0</v>
          </cell>
          <cell r="BL41">
            <v>12</v>
          </cell>
          <cell r="BM41">
            <v>64</v>
          </cell>
          <cell r="BN41">
            <v>0</v>
          </cell>
          <cell r="BO41">
            <v>18</v>
          </cell>
          <cell r="BP41">
            <v>18</v>
          </cell>
          <cell r="BQ41">
            <v>0</v>
          </cell>
          <cell r="BR41">
            <v>0</v>
          </cell>
          <cell r="BS41">
            <v>24</v>
          </cell>
          <cell r="BT41">
            <v>24</v>
          </cell>
          <cell r="BU41">
            <v>860</v>
          </cell>
        </row>
        <row r="42">
          <cell r="C42">
            <v>23</v>
          </cell>
          <cell r="D42">
            <v>23</v>
          </cell>
          <cell r="E42">
            <v>25</v>
          </cell>
          <cell r="F42">
            <v>0</v>
          </cell>
          <cell r="G42">
            <v>23</v>
          </cell>
          <cell r="H42">
            <v>8</v>
          </cell>
          <cell r="I42">
            <v>15</v>
          </cell>
          <cell r="J42">
            <v>23</v>
          </cell>
          <cell r="K42">
            <v>0</v>
          </cell>
          <cell r="L42">
            <v>0</v>
          </cell>
          <cell r="M42">
            <v>0</v>
          </cell>
          <cell r="N42">
            <v>23</v>
          </cell>
          <cell r="O42">
            <v>23</v>
          </cell>
          <cell r="P42">
            <v>23</v>
          </cell>
          <cell r="Q42">
            <v>8</v>
          </cell>
          <cell r="R42">
            <v>0</v>
          </cell>
          <cell r="S42">
            <v>8</v>
          </cell>
          <cell r="T42">
            <v>23</v>
          </cell>
          <cell r="U42">
            <v>23</v>
          </cell>
          <cell r="V42">
            <v>23</v>
          </cell>
          <cell r="W42">
            <v>15</v>
          </cell>
          <cell r="X42">
            <v>8</v>
          </cell>
          <cell r="Y42">
            <v>0</v>
          </cell>
          <cell r="Z42">
            <v>23</v>
          </cell>
          <cell r="AA42">
            <v>0</v>
          </cell>
          <cell r="AB42">
            <v>25</v>
          </cell>
          <cell r="AC42">
            <v>15</v>
          </cell>
          <cell r="AD42">
            <v>23</v>
          </cell>
          <cell r="AE42">
            <v>23</v>
          </cell>
          <cell r="AF42">
            <v>15</v>
          </cell>
          <cell r="AG42">
            <v>15</v>
          </cell>
          <cell r="AH42">
            <v>0</v>
          </cell>
          <cell r="AI42">
            <v>15</v>
          </cell>
          <cell r="AJ42">
            <v>8</v>
          </cell>
          <cell r="AK42">
            <v>0</v>
          </cell>
          <cell r="AL42">
            <v>0</v>
          </cell>
          <cell r="AM42">
            <v>8</v>
          </cell>
          <cell r="AN42">
            <v>23</v>
          </cell>
          <cell r="AO42">
            <v>15</v>
          </cell>
          <cell r="AP42">
            <v>23</v>
          </cell>
          <cell r="AQ42">
            <v>0</v>
          </cell>
          <cell r="AR42">
            <v>0</v>
          </cell>
          <cell r="AS42">
            <v>25</v>
          </cell>
          <cell r="AT42">
            <v>15</v>
          </cell>
          <cell r="AU42">
            <v>23</v>
          </cell>
          <cell r="AV42">
            <v>15</v>
          </cell>
          <cell r="AW42">
            <v>8</v>
          </cell>
          <cell r="AX42">
            <v>8</v>
          </cell>
          <cell r="AY42">
            <v>642</v>
          </cell>
          <cell r="AZ42">
            <v>21</v>
          </cell>
          <cell r="BA42">
            <v>0</v>
          </cell>
          <cell r="BB42">
            <v>11</v>
          </cell>
          <cell r="BC42">
            <v>11</v>
          </cell>
          <cell r="BD42">
            <v>32</v>
          </cell>
          <cell r="BE42">
            <v>0</v>
          </cell>
          <cell r="BF42">
            <v>32</v>
          </cell>
          <cell r="BG42">
            <v>11</v>
          </cell>
          <cell r="BH42">
            <v>118</v>
          </cell>
          <cell r="BI42">
            <v>36</v>
          </cell>
          <cell r="BJ42">
            <v>0</v>
          </cell>
          <cell r="BK42">
            <v>0</v>
          </cell>
          <cell r="BL42">
            <v>12</v>
          </cell>
          <cell r="BM42">
            <v>48</v>
          </cell>
          <cell r="BN42">
            <v>36</v>
          </cell>
          <cell r="BO42">
            <v>18</v>
          </cell>
          <cell r="BP42">
            <v>54</v>
          </cell>
          <cell r="BQ42">
            <v>0</v>
          </cell>
          <cell r="BR42">
            <v>0</v>
          </cell>
          <cell r="BS42">
            <v>24</v>
          </cell>
          <cell r="BT42">
            <v>24</v>
          </cell>
          <cell r="BU42">
            <v>886</v>
          </cell>
        </row>
        <row r="43">
          <cell r="C43">
            <v>23</v>
          </cell>
          <cell r="D43">
            <v>15</v>
          </cell>
          <cell r="E43">
            <v>8</v>
          </cell>
          <cell r="F43">
            <v>15</v>
          </cell>
          <cell r="G43">
            <v>25</v>
          </cell>
          <cell r="H43">
            <v>0</v>
          </cell>
          <cell r="I43">
            <v>8</v>
          </cell>
          <cell r="J43">
            <v>0</v>
          </cell>
          <cell r="K43">
            <v>15</v>
          </cell>
          <cell r="L43">
            <v>0</v>
          </cell>
          <cell r="M43">
            <v>8</v>
          </cell>
          <cell r="N43">
            <v>15</v>
          </cell>
          <cell r="O43">
            <v>15</v>
          </cell>
          <cell r="P43">
            <v>25</v>
          </cell>
          <cell r="Q43">
            <v>0</v>
          </cell>
          <cell r="R43">
            <v>0</v>
          </cell>
          <cell r="S43">
            <v>23</v>
          </cell>
          <cell r="T43">
            <v>23</v>
          </cell>
          <cell r="U43">
            <v>23</v>
          </cell>
          <cell r="V43">
            <v>23</v>
          </cell>
          <cell r="W43">
            <v>15</v>
          </cell>
          <cell r="X43">
            <v>8</v>
          </cell>
          <cell r="Y43">
            <v>0</v>
          </cell>
          <cell r="Z43">
            <v>25</v>
          </cell>
          <cell r="AA43">
            <v>23</v>
          </cell>
          <cell r="AB43">
            <v>25</v>
          </cell>
          <cell r="AC43">
            <v>15</v>
          </cell>
          <cell r="AD43">
            <v>25</v>
          </cell>
          <cell r="AE43">
            <v>25</v>
          </cell>
          <cell r="AF43">
            <v>15</v>
          </cell>
          <cell r="AG43">
            <v>8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23</v>
          </cell>
          <cell r="AO43">
            <v>23</v>
          </cell>
          <cell r="AP43">
            <v>25</v>
          </cell>
          <cell r="AQ43">
            <v>0</v>
          </cell>
          <cell r="AR43">
            <v>0</v>
          </cell>
          <cell r="AS43">
            <v>23</v>
          </cell>
          <cell r="AT43">
            <v>8</v>
          </cell>
          <cell r="AU43">
            <v>23</v>
          </cell>
          <cell r="AV43">
            <v>15</v>
          </cell>
          <cell r="AW43">
            <v>0</v>
          </cell>
          <cell r="AX43">
            <v>25</v>
          </cell>
          <cell r="AY43">
            <v>613</v>
          </cell>
          <cell r="AZ43">
            <v>0</v>
          </cell>
          <cell r="BA43">
            <v>11</v>
          </cell>
          <cell r="BB43">
            <v>35</v>
          </cell>
          <cell r="BC43">
            <v>11</v>
          </cell>
          <cell r="BD43">
            <v>21</v>
          </cell>
          <cell r="BE43">
            <v>21</v>
          </cell>
          <cell r="BF43">
            <v>21</v>
          </cell>
          <cell r="BG43">
            <v>11</v>
          </cell>
          <cell r="BH43">
            <v>131</v>
          </cell>
          <cell r="BI43">
            <v>0</v>
          </cell>
          <cell r="BJ43">
            <v>0</v>
          </cell>
          <cell r="BK43">
            <v>0</v>
          </cell>
          <cell r="BL43">
            <v>12</v>
          </cell>
          <cell r="BM43">
            <v>12</v>
          </cell>
          <cell r="BN43">
            <v>18</v>
          </cell>
          <cell r="BO43">
            <v>60</v>
          </cell>
          <cell r="BP43">
            <v>78</v>
          </cell>
          <cell r="BQ43">
            <v>0</v>
          </cell>
          <cell r="BR43">
            <v>0</v>
          </cell>
          <cell r="BS43">
            <v>24</v>
          </cell>
          <cell r="BT43">
            <v>24</v>
          </cell>
          <cell r="BU43">
            <v>858</v>
          </cell>
        </row>
        <row r="44">
          <cell r="C44">
            <v>15</v>
          </cell>
          <cell r="D44">
            <v>25</v>
          </cell>
          <cell r="E44">
            <v>0</v>
          </cell>
          <cell r="F44">
            <v>15</v>
          </cell>
          <cell r="G44">
            <v>23</v>
          </cell>
          <cell r="H44">
            <v>0</v>
          </cell>
          <cell r="I44">
            <v>15</v>
          </cell>
          <cell r="J44">
            <v>23</v>
          </cell>
          <cell r="K44">
            <v>0</v>
          </cell>
          <cell r="L44">
            <v>8</v>
          </cell>
          <cell r="M44">
            <v>8</v>
          </cell>
          <cell r="N44">
            <v>0</v>
          </cell>
          <cell r="O44">
            <v>23</v>
          </cell>
          <cell r="P44">
            <v>25</v>
          </cell>
          <cell r="Q44">
            <v>25</v>
          </cell>
          <cell r="R44">
            <v>8</v>
          </cell>
          <cell r="S44">
            <v>15</v>
          </cell>
          <cell r="T44">
            <v>23</v>
          </cell>
          <cell r="U44">
            <v>15</v>
          </cell>
          <cell r="V44">
            <v>23</v>
          </cell>
          <cell r="W44">
            <v>23</v>
          </cell>
          <cell r="X44">
            <v>0</v>
          </cell>
          <cell r="Y44">
            <v>0</v>
          </cell>
          <cell r="Z44">
            <v>25</v>
          </cell>
          <cell r="AA44">
            <v>23</v>
          </cell>
          <cell r="AB44">
            <v>23</v>
          </cell>
          <cell r="AC44">
            <v>8</v>
          </cell>
          <cell r="AD44">
            <v>8</v>
          </cell>
          <cell r="AE44">
            <v>25</v>
          </cell>
          <cell r="AF44">
            <v>15</v>
          </cell>
          <cell r="AG44">
            <v>0</v>
          </cell>
          <cell r="AH44">
            <v>15</v>
          </cell>
          <cell r="AI44">
            <v>15</v>
          </cell>
          <cell r="AJ44">
            <v>8</v>
          </cell>
          <cell r="AK44">
            <v>0</v>
          </cell>
          <cell r="AL44">
            <v>0</v>
          </cell>
          <cell r="AM44">
            <v>0</v>
          </cell>
          <cell r="AN44">
            <v>23</v>
          </cell>
          <cell r="AO44">
            <v>25</v>
          </cell>
          <cell r="AP44">
            <v>23</v>
          </cell>
          <cell r="AQ44">
            <v>0</v>
          </cell>
          <cell r="AR44">
            <v>15</v>
          </cell>
          <cell r="AS44">
            <v>23</v>
          </cell>
          <cell r="AT44">
            <v>15</v>
          </cell>
          <cell r="AU44">
            <v>8</v>
          </cell>
          <cell r="AV44">
            <v>23</v>
          </cell>
          <cell r="AW44">
            <v>8</v>
          </cell>
          <cell r="AX44">
            <v>25</v>
          </cell>
          <cell r="AY44">
            <v>665</v>
          </cell>
          <cell r="AZ44">
            <v>0</v>
          </cell>
          <cell r="BA44">
            <v>0</v>
          </cell>
          <cell r="BB44">
            <v>35</v>
          </cell>
          <cell r="BC44">
            <v>0</v>
          </cell>
          <cell r="BD44">
            <v>32</v>
          </cell>
          <cell r="BE44">
            <v>21</v>
          </cell>
          <cell r="BF44">
            <v>32</v>
          </cell>
          <cell r="BG44">
            <v>35</v>
          </cell>
          <cell r="BH44">
            <v>155</v>
          </cell>
          <cell r="BI44">
            <v>0</v>
          </cell>
          <cell r="BJ44">
            <v>0</v>
          </cell>
          <cell r="BK44">
            <v>0</v>
          </cell>
          <cell r="BL44">
            <v>40</v>
          </cell>
          <cell r="BM44">
            <v>40</v>
          </cell>
          <cell r="BN44">
            <v>0</v>
          </cell>
          <cell r="BO44">
            <v>0</v>
          </cell>
          <cell r="BP44">
            <v>0</v>
          </cell>
          <cell r="BQ44">
            <v>63</v>
          </cell>
          <cell r="BR44">
            <v>63</v>
          </cell>
          <cell r="BS44">
            <v>24</v>
          </cell>
          <cell r="BT44">
            <v>24</v>
          </cell>
          <cell r="BU44">
            <v>947</v>
          </cell>
        </row>
        <row r="45">
          <cell r="C45">
            <v>23</v>
          </cell>
          <cell r="D45">
            <v>23</v>
          </cell>
          <cell r="E45">
            <v>8</v>
          </cell>
          <cell r="F45">
            <v>0</v>
          </cell>
          <cell r="G45">
            <v>23</v>
          </cell>
          <cell r="H45">
            <v>0</v>
          </cell>
          <cell r="I45">
            <v>8</v>
          </cell>
          <cell r="J45">
            <v>25</v>
          </cell>
          <cell r="K45">
            <v>0</v>
          </cell>
          <cell r="L45">
            <v>8</v>
          </cell>
          <cell r="M45">
            <v>8</v>
          </cell>
          <cell r="N45">
            <v>15</v>
          </cell>
          <cell r="O45">
            <v>23</v>
          </cell>
          <cell r="P45">
            <v>15</v>
          </cell>
          <cell r="Q45">
            <v>8</v>
          </cell>
          <cell r="R45">
            <v>0</v>
          </cell>
          <cell r="S45">
            <v>15</v>
          </cell>
          <cell r="T45">
            <v>23</v>
          </cell>
          <cell r="U45">
            <v>23</v>
          </cell>
          <cell r="V45">
            <v>23</v>
          </cell>
          <cell r="W45">
            <v>15</v>
          </cell>
          <cell r="X45">
            <v>25</v>
          </cell>
          <cell r="Y45">
            <v>0</v>
          </cell>
          <cell r="Z45">
            <v>15</v>
          </cell>
          <cell r="AA45">
            <v>0</v>
          </cell>
          <cell r="AB45">
            <v>8</v>
          </cell>
          <cell r="AC45">
            <v>15</v>
          </cell>
          <cell r="AD45">
            <v>23</v>
          </cell>
          <cell r="AE45">
            <v>8</v>
          </cell>
          <cell r="AF45">
            <v>23</v>
          </cell>
          <cell r="AG45">
            <v>15</v>
          </cell>
          <cell r="AH45">
            <v>15</v>
          </cell>
          <cell r="AI45">
            <v>23</v>
          </cell>
          <cell r="AJ45">
            <v>0</v>
          </cell>
          <cell r="AK45">
            <v>0</v>
          </cell>
          <cell r="AL45">
            <v>8</v>
          </cell>
          <cell r="AM45">
            <v>0</v>
          </cell>
          <cell r="AN45">
            <v>23</v>
          </cell>
          <cell r="AO45">
            <v>8</v>
          </cell>
          <cell r="AP45">
            <v>23</v>
          </cell>
          <cell r="AQ45">
            <v>0</v>
          </cell>
          <cell r="AR45">
            <v>23</v>
          </cell>
          <cell r="AS45">
            <v>23</v>
          </cell>
          <cell r="AT45">
            <v>8</v>
          </cell>
          <cell r="AU45">
            <v>15</v>
          </cell>
          <cell r="AV45">
            <v>15</v>
          </cell>
          <cell r="AW45">
            <v>0</v>
          </cell>
          <cell r="AX45">
            <v>8</v>
          </cell>
          <cell r="AY45">
            <v>610</v>
          </cell>
          <cell r="AZ45">
            <v>21</v>
          </cell>
          <cell r="BA45">
            <v>11</v>
          </cell>
          <cell r="BB45">
            <v>0</v>
          </cell>
          <cell r="BC45">
            <v>11</v>
          </cell>
          <cell r="BD45">
            <v>32</v>
          </cell>
          <cell r="BE45">
            <v>35</v>
          </cell>
          <cell r="BF45">
            <v>21</v>
          </cell>
          <cell r="BG45">
            <v>11</v>
          </cell>
          <cell r="BH45">
            <v>142</v>
          </cell>
          <cell r="BI45">
            <v>0</v>
          </cell>
          <cell r="BJ45">
            <v>12</v>
          </cell>
          <cell r="BK45">
            <v>0</v>
          </cell>
          <cell r="BL45">
            <v>12</v>
          </cell>
          <cell r="BM45">
            <v>24</v>
          </cell>
          <cell r="BN45">
            <v>18</v>
          </cell>
          <cell r="BO45">
            <v>18</v>
          </cell>
          <cell r="BP45">
            <v>36</v>
          </cell>
          <cell r="BQ45">
            <v>42</v>
          </cell>
          <cell r="BR45">
            <v>42</v>
          </cell>
          <cell r="BS45">
            <v>72</v>
          </cell>
          <cell r="BT45">
            <v>72</v>
          </cell>
          <cell r="BU45">
            <v>926</v>
          </cell>
        </row>
        <row r="46">
          <cell r="C46">
            <v>8</v>
          </cell>
          <cell r="D46">
            <v>23</v>
          </cell>
          <cell r="E46">
            <v>0</v>
          </cell>
          <cell r="F46">
            <v>8</v>
          </cell>
          <cell r="G46">
            <v>23</v>
          </cell>
          <cell r="H46">
            <v>0</v>
          </cell>
          <cell r="I46">
            <v>0</v>
          </cell>
          <cell r="J46">
            <v>23</v>
          </cell>
          <cell r="K46">
            <v>0</v>
          </cell>
          <cell r="L46">
            <v>8</v>
          </cell>
          <cell r="M46">
            <v>0</v>
          </cell>
          <cell r="N46">
            <v>8</v>
          </cell>
          <cell r="O46">
            <v>23</v>
          </cell>
          <cell r="P46">
            <v>15</v>
          </cell>
          <cell r="Q46">
            <v>8</v>
          </cell>
          <cell r="R46">
            <v>0</v>
          </cell>
          <cell r="S46">
            <v>15</v>
          </cell>
          <cell r="T46">
            <v>23</v>
          </cell>
          <cell r="U46">
            <v>23</v>
          </cell>
          <cell r="V46">
            <v>23</v>
          </cell>
          <cell r="W46">
            <v>23</v>
          </cell>
          <cell r="X46">
            <v>25</v>
          </cell>
          <cell r="Y46">
            <v>0</v>
          </cell>
          <cell r="Z46">
            <v>15</v>
          </cell>
          <cell r="AA46">
            <v>0</v>
          </cell>
          <cell r="AB46">
            <v>15</v>
          </cell>
          <cell r="AC46">
            <v>15</v>
          </cell>
          <cell r="AD46">
            <v>15</v>
          </cell>
          <cell r="AE46">
            <v>23</v>
          </cell>
          <cell r="AF46">
            <v>15</v>
          </cell>
          <cell r="AG46">
            <v>15</v>
          </cell>
          <cell r="AH46">
            <v>15</v>
          </cell>
          <cell r="AI46">
            <v>23</v>
          </cell>
          <cell r="AJ46">
            <v>8</v>
          </cell>
          <cell r="AK46">
            <v>8</v>
          </cell>
          <cell r="AL46">
            <v>0</v>
          </cell>
          <cell r="AM46">
            <v>8</v>
          </cell>
          <cell r="AN46">
            <v>0</v>
          </cell>
          <cell r="AO46">
            <v>0</v>
          </cell>
          <cell r="AP46">
            <v>15</v>
          </cell>
          <cell r="AQ46">
            <v>0</v>
          </cell>
          <cell r="AR46">
            <v>0</v>
          </cell>
          <cell r="AS46">
            <v>23</v>
          </cell>
          <cell r="AT46">
            <v>0</v>
          </cell>
          <cell r="AU46">
            <v>25</v>
          </cell>
          <cell r="AV46">
            <v>25</v>
          </cell>
          <cell r="AW46">
            <v>0</v>
          </cell>
          <cell r="AX46">
            <v>15</v>
          </cell>
          <cell r="AY46">
            <v>557</v>
          </cell>
          <cell r="AZ46">
            <v>21</v>
          </cell>
          <cell r="BA46">
            <v>0</v>
          </cell>
          <cell r="BB46">
            <v>0</v>
          </cell>
          <cell r="BC46">
            <v>0</v>
          </cell>
          <cell r="BD46">
            <v>32</v>
          </cell>
          <cell r="BE46">
            <v>32</v>
          </cell>
          <cell r="BF46">
            <v>21</v>
          </cell>
          <cell r="BG46">
            <v>21</v>
          </cell>
          <cell r="BH46">
            <v>127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36</v>
          </cell>
          <cell r="BO46">
            <v>0</v>
          </cell>
          <cell r="BP46">
            <v>36</v>
          </cell>
          <cell r="BQ46">
            <v>42</v>
          </cell>
          <cell r="BR46">
            <v>42</v>
          </cell>
          <cell r="BS46">
            <v>48</v>
          </cell>
          <cell r="BT46">
            <v>48</v>
          </cell>
          <cell r="BU46">
            <v>810</v>
          </cell>
        </row>
        <row r="47">
          <cell r="C47">
            <v>15</v>
          </cell>
          <cell r="D47">
            <v>15</v>
          </cell>
          <cell r="E47">
            <v>8</v>
          </cell>
          <cell r="F47">
            <v>0</v>
          </cell>
          <cell r="G47">
            <v>15</v>
          </cell>
          <cell r="H47">
            <v>8</v>
          </cell>
          <cell r="I47">
            <v>8</v>
          </cell>
          <cell r="J47">
            <v>25</v>
          </cell>
          <cell r="K47">
            <v>0</v>
          </cell>
          <cell r="L47">
            <v>0</v>
          </cell>
          <cell r="M47">
            <v>0</v>
          </cell>
          <cell r="N47">
            <v>15</v>
          </cell>
          <cell r="O47">
            <v>15</v>
          </cell>
          <cell r="P47">
            <v>15</v>
          </cell>
          <cell r="Q47">
            <v>0</v>
          </cell>
          <cell r="R47">
            <v>0</v>
          </cell>
          <cell r="S47">
            <v>0</v>
          </cell>
          <cell r="T47">
            <v>15</v>
          </cell>
          <cell r="U47">
            <v>23</v>
          </cell>
          <cell r="V47">
            <v>23</v>
          </cell>
          <cell r="W47">
            <v>23</v>
          </cell>
          <cell r="X47">
            <v>0</v>
          </cell>
          <cell r="Y47">
            <v>0</v>
          </cell>
          <cell r="Z47">
            <v>15</v>
          </cell>
          <cell r="AA47">
            <v>0</v>
          </cell>
          <cell r="AB47">
            <v>25</v>
          </cell>
          <cell r="AC47">
            <v>15</v>
          </cell>
          <cell r="AD47">
            <v>23</v>
          </cell>
          <cell r="AE47">
            <v>25</v>
          </cell>
          <cell r="AF47">
            <v>15</v>
          </cell>
          <cell r="AG47">
            <v>8</v>
          </cell>
          <cell r="AH47">
            <v>0</v>
          </cell>
          <cell r="AI47">
            <v>15</v>
          </cell>
          <cell r="AJ47">
            <v>0</v>
          </cell>
          <cell r="AK47">
            <v>8</v>
          </cell>
          <cell r="AL47">
            <v>0</v>
          </cell>
          <cell r="AM47">
            <v>0</v>
          </cell>
          <cell r="AN47">
            <v>23</v>
          </cell>
          <cell r="AO47">
            <v>8</v>
          </cell>
          <cell r="AP47">
            <v>15</v>
          </cell>
          <cell r="AQ47">
            <v>0</v>
          </cell>
          <cell r="AR47">
            <v>0</v>
          </cell>
          <cell r="AS47">
            <v>23</v>
          </cell>
          <cell r="AT47">
            <v>8</v>
          </cell>
          <cell r="AU47">
            <v>23</v>
          </cell>
          <cell r="AV47">
            <v>23</v>
          </cell>
          <cell r="AW47">
            <v>15</v>
          </cell>
          <cell r="AX47">
            <v>23</v>
          </cell>
          <cell r="AY47">
            <v>533</v>
          </cell>
          <cell r="AZ47">
            <v>32</v>
          </cell>
          <cell r="BA47">
            <v>11</v>
          </cell>
          <cell r="BB47">
            <v>11</v>
          </cell>
          <cell r="BC47">
            <v>11</v>
          </cell>
          <cell r="BD47">
            <v>32</v>
          </cell>
          <cell r="BE47">
            <v>21</v>
          </cell>
          <cell r="BF47">
            <v>21</v>
          </cell>
          <cell r="BG47">
            <v>11</v>
          </cell>
          <cell r="BH47">
            <v>150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18</v>
          </cell>
          <cell r="BO47">
            <v>18</v>
          </cell>
          <cell r="BP47">
            <v>36</v>
          </cell>
          <cell r="BQ47">
            <v>21</v>
          </cell>
          <cell r="BR47">
            <v>21</v>
          </cell>
          <cell r="BS47">
            <v>48</v>
          </cell>
          <cell r="BT47">
            <v>48</v>
          </cell>
          <cell r="BU47">
            <v>788</v>
          </cell>
        </row>
        <row r="48">
          <cell r="C48">
            <v>15</v>
          </cell>
          <cell r="D48">
            <v>8</v>
          </cell>
          <cell r="E48">
            <v>8</v>
          </cell>
          <cell r="F48">
            <v>0</v>
          </cell>
          <cell r="G48">
            <v>15</v>
          </cell>
          <cell r="H48">
            <v>8</v>
          </cell>
          <cell r="I48">
            <v>8</v>
          </cell>
          <cell r="J48">
            <v>0</v>
          </cell>
          <cell r="K48">
            <v>0</v>
          </cell>
          <cell r="L48">
            <v>8</v>
          </cell>
          <cell r="M48">
            <v>8</v>
          </cell>
          <cell r="N48">
            <v>25</v>
          </cell>
          <cell r="O48">
            <v>15</v>
          </cell>
          <cell r="P48">
            <v>15</v>
          </cell>
          <cell r="Q48">
            <v>8</v>
          </cell>
          <cell r="R48">
            <v>0</v>
          </cell>
          <cell r="S48">
            <v>8</v>
          </cell>
          <cell r="T48">
            <v>23</v>
          </cell>
          <cell r="U48">
            <v>15</v>
          </cell>
          <cell r="V48">
            <v>15</v>
          </cell>
          <cell r="W48">
            <v>15</v>
          </cell>
          <cell r="X48">
            <v>8</v>
          </cell>
          <cell r="Y48">
            <v>0</v>
          </cell>
          <cell r="Z48">
            <v>23</v>
          </cell>
          <cell r="AA48">
            <v>25</v>
          </cell>
          <cell r="AB48">
            <v>25</v>
          </cell>
          <cell r="AC48">
            <v>15</v>
          </cell>
          <cell r="AD48">
            <v>25</v>
          </cell>
          <cell r="AE48">
            <v>25</v>
          </cell>
          <cell r="AF48">
            <v>23</v>
          </cell>
          <cell r="AG48">
            <v>8</v>
          </cell>
          <cell r="AH48">
            <v>23</v>
          </cell>
          <cell r="AI48">
            <v>0</v>
          </cell>
          <cell r="AJ48">
            <v>0</v>
          </cell>
          <cell r="AK48">
            <v>0</v>
          </cell>
          <cell r="AL48">
            <v>8</v>
          </cell>
          <cell r="AM48">
            <v>15</v>
          </cell>
          <cell r="AN48">
            <v>0</v>
          </cell>
          <cell r="AO48">
            <v>15</v>
          </cell>
          <cell r="AP48">
            <v>15</v>
          </cell>
          <cell r="AQ48">
            <v>0</v>
          </cell>
          <cell r="AR48">
            <v>23</v>
          </cell>
          <cell r="AS48">
            <v>25</v>
          </cell>
          <cell r="AT48">
            <v>0</v>
          </cell>
          <cell r="AU48">
            <v>8</v>
          </cell>
          <cell r="AV48">
            <v>0</v>
          </cell>
          <cell r="AW48">
            <v>25</v>
          </cell>
          <cell r="AX48">
            <v>8</v>
          </cell>
          <cell r="AY48">
            <v>559</v>
          </cell>
          <cell r="AZ48">
            <v>0</v>
          </cell>
          <cell r="BA48">
            <v>21</v>
          </cell>
          <cell r="BB48">
            <v>0</v>
          </cell>
          <cell r="BC48">
            <v>11</v>
          </cell>
          <cell r="BD48">
            <v>21</v>
          </cell>
          <cell r="BE48">
            <v>21</v>
          </cell>
          <cell r="BF48">
            <v>21</v>
          </cell>
          <cell r="BG48">
            <v>11</v>
          </cell>
          <cell r="BH48">
            <v>106</v>
          </cell>
          <cell r="BI48">
            <v>24</v>
          </cell>
          <cell r="BJ48">
            <v>12</v>
          </cell>
          <cell r="BK48">
            <v>36</v>
          </cell>
          <cell r="BL48">
            <v>0</v>
          </cell>
          <cell r="BM48">
            <v>72</v>
          </cell>
          <cell r="BN48">
            <v>60</v>
          </cell>
          <cell r="BO48">
            <v>18</v>
          </cell>
          <cell r="BP48">
            <v>78</v>
          </cell>
          <cell r="BQ48">
            <v>42</v>
          </cell>
          <cell r="BR48">
            <v>42</v>
          </cell>
          <cell r="BS48">
            <v>48</v>
          </cell>
          <cell r="BT48">
            <v>48</v>
          </cell>
          <cell r="BU48">
            <v>905</v>
          </cell>
        </row>
        <row r="49">
          <cell r="C49">
            <v>15</v>
          </cell>
          <cell r="D49">
            <v>0</v>
          </cell>
          <cell r="E49">
            <v>0</v>
          </cell>
          <cell r="F49">
            <v>0</v>
          </cell>
          <cell r="G49">
            <v>25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8</v>
          </cell>
          <cell r="M49">
            <v>0</v>
          </cell>
          <cell r="N49">
            <v>8</v>
          </cell>
          <cell r="O49">
            <v>23</v>
          </cell>
          <cell r="P49">
            <v>25</v>
          </cell>
          <cell r="Q49">
            <v>8</v>
          </cell>
          <cell r="R49">
            <v>0</v>
          </cell>
          <cell r="S49">
            <v>8</v>
          </cell>
          <cell r="T49">
            <v>15</v>
          </cell>
          <cell r="U49">
            <v>23</v>
          </cell>
          <cell r="V49">
            <v>23</v>
          </cell>
          <cell r="W49">
            <v>15</v>
          </cell>
          <cell r="X49">
            <v>15</v>
          </cell>
          <cell r="Y49">
            <v>0</v>
          </cell>
          <cell r="Z49">
            <v>23</v>
          </cell>
          <cell r="AA49">
            <v>25</v>
          </cell>
          <cell r="AB49">
            <v>15</v>
          </cell>
          <cell r="AC49">
            <v>15</v>
          </cell>
          <cell r="AD49">
            <v>23</v>
          </cell>
          <cell r="AE49">
            <v>25</v>
          </cell>
          <cell r="AF49">
            <v>15</v>
          </cell>
          <cell r="AG49">
            <v>0</v>
          </cell>
          <cell r="AH49">
            <v>15</v>
          </cell>
          <cell r="AI49">
            <v>15</v>
          </cell>
          <cell r="AJ49">
            <v>0</v>
          </cell>
          <cell r="AK49">
            <v>0</v>
          </cell>
          <cell r="AL49">
            <v>8</v>
          </cell>
          <cell r="AM49">
            <v>8</v>
          </cell>
          <cell r="AN49">
            <v>23</v>
          </cell>
          <cell r="AO49">
            <v>25</v>
          </cell>
          <cell r="AP49">
            <v>0</v>
          </cell>
          <cell r="AQ49">
            <v>0</v>
          </cell>
          <cell r="AR49">
            <v>0</v>
          </cell>
          <cell r="AS49">
            <v>23</v>
          </cell>
          <cell r="AT49">
            <v>15</v>
          </cell>
          <cell r="AU49">
            <v>8</v>
          </cell>
          <cell r="AV49">
            <v>8</v>
          </cell>
          <cell r="AW49">
            <v>8</v>
          </cell>
          <cell r="AX49">
            <v>8</v>
          </cell>
          <cell r="AY49">
            <v>516</v>
          </cell>
          <cell r="AZ49">
            <v>21</v>
          </cell>
          <cell r="BA49">
            <v>11</v>
          </cell>
          <cell r="BB49">
            <v>11</v>
          </cell>
          <cell r="BC49">
            <v>35</v>
          </cell>
          <cell r="BD49">
            <v>21</v>
          </cell>
          <cell r="BE49">
            <v>32</v>
          </cell>
          <cell r="BF49">
            <v>21</v>
          </cell>
          <cell r="BG49">
            <v>11</v>
          </cell>
          <cell r="BH49">
            <v>163</v>
          </cell>
          <cell r="BI49">
            <v>12</v>
          </cell>
          <cell r="BJ49">
            <v>0</v>
          </cell>
          <cell r="BK49">
            <v>36</v>
          </cell>
          <cell r="BL49">
            <v>40</v>
          </cell>
          <cell r="BM49">
            <v>88</v>
          </cell>
          <cell r="BN49">
            <v>0</v>
          </cell>
          <cell r="BO49">
            <v>60</v>
          </cell>
          <cell r="BP49">
            <v>60</v>
          </cell>
          <cell r="BQ49">
            <v>0</v>
          </cell>
          <cell r="BR49">
            <v>0</v>
          </cell>
          <cell r="BS49">
            <v>48</v>
          </cell>
          <cell r="BT49">
            <v>48</v>
          </cell>
          <cell r="BU49">
            <v>875</v>
          </cell>
        </row>
        <row r="50">
          <cell r="C50">
            <v>23</v>
          </cell>
          <cell r="D50">
            <v>23</v>
          </cell>
          <cell r="E50">
            <v>8</v>
          </cell>
          <cell r="F50">
            <v>0</v>
          </cell>
          <cell r="G50">
            <v>15</v>
          </cell>
          <cell r="H50">
            <v>0</v>
          </cell>
          <cell r="I50">
            <v>25</v>
          </cell>
          <cell r="J50">
            <v>8</v>
          </cell>
          <cell r="K50">
            <v>0</v>
          </cell>
          <cell r="L50">
            <v>0</v>
          </cell>
          <cell r="M50">
            <v>0</v>
          </cell>
          <cell r="N50">
            <v>8</v>
          </cell>
          <cell r="O50">
            <v>25</v>
          </cell>
          <cell r="P50">
            <v>23</v>
          </cell>
          <cell r="Q50">
            <v>25</v>
          </cell>
          <cell r="R50">
            <v>0</v>
          </cell>
          <cell r="S50">
            <v>8</v>
          </cell>
          <cell r="T50">
            <v>23</v>
          </cell>
          <cell r="U50">
            <v>23</v>
          </cell>
          <cell r="V50">
            <v>23</v>
          </cell>
          <cell r="W50">
            <v>23</v>
          </cell>
          <cell r="X50">
            <v>8</v>
          </cell>
          <cell r="Y50">
            <v>0</v>
          </cell>
          <cell r="Z50">
            <v>25</v>
          </cell>
          <cell r="AA50">
            <v>23</v>
          </cell>
          <cell r="AB50">
            <v>15</v>
          </cell>
          <cell r="AC50">
            <v>15</v>
          </cell>
          <cell r="AD50">
            <v>15</v>
          </cell>
          <cell r="AE50">
            <v>25</v>
          </cell>
          <cell r="AF50">
            <v>15</v>
          </cell>
          <cell r="AG50">
            <v>8</v>
          </cell>
          <cell r="AH50">
            <v>0</v>
          </cell>
          <cell r="AI50">
            <v>15</v>
          </cell>
          <cell r="AJ50">
            <v>0</v>
          </cell>
          <cell r="AK50">
            <v>0</v>
          </cell>
          <cell r="AL50">
            <v>0</v>
          </cell>
          <cell r="AM50">
            <v>8</v>
          </cell>
          <cell r="AN50">
            <v>8</v>
          </cell>
          <cell r="AO50">
            <v>25</v>
          </cell>
          <cell r="AP50">
            <v>25</v>
          </cell>
          <cell r="AQ50">
            <v>0</v>
          </cell>
          <cell r="AR50">
            <v>0</v>
          </cell>
          <cell r="AS50">
            <v>23</v>
          </cell>
          <cell r="AT50">
            <v>8</v>
          </cell>
          <cell r="AU50">
            <v>23</v>
          </cell>
          <cell r="AV50">
            <v>0</v>
          </cell>
          <cell r="AW50">
            <v>15</v>
          </cell>
          <cell r="AX50">
            <v>8</v>
          </cell>
          <cell r="AY50">
            <v>590</v>
          </cell>
          <cell r="AZ50">
            <v>21</v>
          </cell>
          <cell r="BA50">
            <v>11</v>
          </cell>
          <cell r="BB50">
            <v>0</v>
          </cell>
          <cell r="BC50">
            <v>11</v>
          </cell>
          <cell r="BD50">
            <v>35</v>
          </cell>
          <cell r="BE50">
            <v>21</v>
          </cell>
          <cell r="BF50">
            <v>32</v>
          </cell>
          <cell r="BG50">
            <v>35</v>
          </cell>
          <cell r="BH50">
            <v>166</v>
          </cell>
          <cell r="BI50">
            <v>40</v>
          </cell>
          <cell r="BJ50">
            <v>0</v>
          </cell>
          <cell r="BK50">
            <v>0</v>
          </cell>
          <cell r="BL50">
            <v>40</v>
          </cell>
          <cell r="BM50">
            <v>80</v>
          </cell>
          <cell r="BN50">
            <v>18</v>
          </cell>
          <cell r="BO50">
            <v>18</v>
          </cell>
          <cell r="BP50">
            <v>36</v>
          </cell>
          <cell r="BQ50">
            <v>0</v>
          </cell>
          <cell r="BR50">
            <v>0</v>
          </cell>
          <cell r="BS50">
            <v>48</v>
          </cell>
          <cell r="BT50">
            <v>48</v>
          </cell>
          <cell r="BU50">
            <v>920</v>
          </cell>
        </row>
        <row r="51">
          <cell r="C51">
            <v>15</v>
          </cell>
          <cell r="D51">
            <v>23</v>
          </cell>
          <cell r="E51">
            <v>8</v>
          </cell>
          <cell r="F51">
            <v>0</v>
          </cell>
          <cell r="G51">
            <v>23</v>
          </cell>
          <cell r="H51">
            <v>0</v>
          </cell>
          <cell r="I51">
            <v>8</v>
          </cell>
          <cell r="J51">
            <v>23</v>
          </cell>
          <cell r="K51">
            <v>0</v>
          </cell>
          <cell r="L51">
            <v>8</v>
          </cell>
          <cell r="M51">
            <v>8</v>
          </cell>
          <cell r="N51">
            <v>0</v>
          </cell>
          <cell r="O51">
            <v>25</v>
          </cell>
          <cell r="P51">
            <v>23</v>
          </cell>
          <cell r="Q51">
            <v>0</v>
          </cell>
          <cell r="R51">
            <v>8</v>
          </cell>
          <cell r="S51">
            <v>23</v>
          </cell>
          <cell r="T51">
            <v>15</v>
          </cell>
          <cell r="U51">
            <v>15</v>
          </cell>
          <cell r="V51">
            <v>23</v>
          </cell>
          <cell r="W51">
            <v>23</v>
          </cell>
          <cell r="X51">
            <v>8</v>
          </cell>
          <cell r="Y51">
            <v>0</v>
          </cell>
          <cell r="Z51">
            <v>15</v>
          </cell>
          <cell r="AA51">
            <v>0</v>
          </cell>
          <cell r="AB51">
            <v>25</v>
          </cell>
          <cell r="AC51">
            <v>15</v>
          </cell>
          <cell r="AD51">
            <v>23</v>
          </cell>
          <cell r="AE51">
            <v>8</v>
          </cell>
          <cell r="AF51">
            <v>23</v>
          </cell>
          <cell r="AG51">
            <v>8</v>
          </cell>
          <cell r="AH51">
            <v>0</v>
          </cell>
          <cell r="AI51">
            <v>0</v>
          </cell>
          <cell r="AJ51">
            <v>25</v>
          </cell>
          <cell r="AK51">
            <v>8</v>
          </cell>
          <cell r="AL51">
            <v>0</v>
          </cell>
          <cell r="AM51">
            <v>0</v>
          </cell>
          <cell r="AN51">
            <v>8</v>
          </cell>
          <cell r="AO51">
            <v>25</v>
          </cell>
          <cell r="AP51">
            <v>15</v>
          </cell>
          <cell r="AQ51">
            <v>0</v>
          </cell>
          <cell r="AR51">
            <v>0</v>
          </cell>
          <cell r="AS51">
            <v>15</v>
          </cell>
          <cell r="AT51">
            <v>8</v>
          </cell>
          <cell r="AU51">
            <v>0</v>
          </cell>
          <cell r="AV51">
            <v>23</v>
          </cell>
          <cell r="AW51">
            <v>0</v>
          </cell>
          <cell r="AX51">
            <v>0</v>
          </cell>
          <cell r="AY51">
            <v>523</v>
          </cell>
          <cell r="AZ51">
            <v>21</v>
          </cell>
          <cell r="BA51">
            <v>11</v>
          </cell>
          <cell r="BB51">
            <v>11</v>
          </cell>
          <cell r="BC51">
            <v>0</v>
          </cell>
          <cell r="BD51">
            <v>21</v>
          </cell>
          <cell r="BE51">
            <v>21</v>
          </cell>
          <cell r="BF51">
            <v>21</v>
          </cell>
          <cell r="BG51">
            <v>11</v>
          </cell>
          <cell r="BH51">
            <v>117</v>
          </cell>
          <cell r="BI51">
            <v>12</v>
          </cell>
          <cell r="BJ51">
            <v>0</v>
          </cell>
          <cell r="BK51">
            <v>0</v>
          </cell>
          <cell r="BL51">
            <v>0</v>
          </cell>
          <cell r="BM51">
            <v>12</v>
          </cell>
          <cell r="BN51">
            <v>18</v>
          </cell>
          <cell r="BO51">
            <v>0</v>
          </cell>
          <cell r="BP51">
            <v>18</v>
          </cell>
          <cell r="BQ51">
            <v>21</v>
          </cell>
          <cell r="BR51">
            <v>21</v>
          </cell>
          <cell r="BS51">
            <v>0</v>
          </cell>
          <cell r="BT51">
            <v>0</v>
          </cell>
          <cell r="BU51">
            <v>691</v>
          </cell>
        </row>
        <row r="52">
          <cell r="C52">
            <v>23</v>
          </cell>
          <cell r="D52">
            <v>25</v>
          </cell>
          <cell r="E52">
            <v>25</v>
          </cell>
          <cell r="F52">
            <v>0</v>
          </cell>
          <cell r="G52">
            <v>15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8</v>
          </cell>
          <cell r="M52">
            <v>8</v>
          </cell>
          <cell r="N52">
            <v>15</v>
          </cell>
          <cell r="O52">
            <v>0</v>
          </cell>
          <cell r="P52">
            <v>23</v>
          </cell>
          <cell r="Q52">
            <v>8</v>
          </cell>
          <cell r="R52">
            <v>0</v>
          </cell>
          <cell r="S52">
            <v>15</v>
          </cell>
          <cell r="T52">
            <v>23</v>
          </cell>
          <cell r="U52">
            <v>23</v>
          </cell>
          <cell r="V52">
            <v>25</v>
          </cell>
          <cell r="W52">
            <v>8</v>
          </cell>
          <cell r="X52">
            <v>8</v>
          </cell>
          <cell r="Y52">
            <v>0</v>
          </cell>
          <cell r="Z52">
            <v>23</v>
          </cell>
          <cell r="AA52">
            <v>0</v>
          </cell>
          <cell r="AB52">
            <v>15</v>
          </cell>
          <cell r="AC52">
            <v>15</v>
          </cell>
          <cell r="AD52">
            <v>23</v>
          </cell>
          <cell r="AE52">
            <v>8</v>
          </cell>
          <cell r="AF52">
            <v>15</v>
          </cell>
          <cell r="AG52">
            <v>0</v>
          </cell>
          <cell r="AH52">
            <v>15</v>
          </cell>
          <cell r="AI52">
            <v>23</v>
          </cell>
          <cell r="AJ52">
            <v>8</v>
          </cell>
          <cell r="AK52">
            <v>0</v>
          </cell>
          <cell r="AL52">
            <v>0</v>
          </cell>
          <cell r="AM52">
            <v>8</v>
          </cell>
          <cell r="AN52">
            <v>25</v>
          </cell>
          <cell r="AO52">
            <v>8</v>
          </cell>
          <cell r="AP52">
            <v>23</v>
          </cell>
          <cell r="AQ52">
            <v>0</v>
          </cell>
          <cell r="AR52">
            <v>0</v>
          </cell>
          <cell r="AS52">
            <v>25</v>
          </cell>
          <cell r="AT52">
            <v>15</v>
          </cell>
          <cell r="AU52">
            <v>8</v>
          </cell>
          <cell r="AV52">
            <v>25</v>
          </cell>
          <cell r="AW52">
            <v>0</v>
          </cell>
          <cell r="AX52">
            <v>8</v>
          </cell>
          <cell r="AY52">
            <v>542</v>
          </cell>
          <cell r="AZ52">
            <v>21</v>
          </cell>
          <cell r="BA52">
            <v>0</v>
          </cell>
          <cell r="BB52">
            <v>11</v>
          </cell>
          <cell r="BC52">
            <v>11</v>
          </cell>
          <cell r="BD52">
            <v>32</v>
          </cell>
          <cell r="BE52">
            <v>0</v>
          </cell>
          <cell r="BF52">
            <v>32</v>
          </cell>
          <cell r="BG52">
            <v>11</v>
          </cell>
          <cell r="BH52">
            <v>118</v>
          </cell>
          <cell r="BI52">
            <v>36</v>
          </cell>
          <cell r="BJ52">
            <v>0</v>
          </cell>
          <cell r="BK52">
            <v>0</v>
          </cell>
          <cell r="BL52">
            <v>12</v>
          </cell>
          <cell r="BM52">
            <v>48</v>
          </cell>
          <cell r="BN52">
            <v>36</v>
          </cell>
          <cell r="BO52">
            <v>18</v>
          </cell>
          <cell r="BP52">
            <v>54</v>
          </cell>
          <cell r="BQ52">
            <v>70</v>
          </cell>
          <cell r="BR52">
            <v>70</v>
          </cell>
          <cell r="BS52">
            <v>0</v>
          </cell>
          <cell r="BT52">
            <v>0</v>
          </cell>
          <cell r="BU52">
            <v>832</v>
          </cell>
        </row>
        <row r="53">
          <cell r="C53">
            <v>23</v>
          </cell>
          <cell r="D53">
            <v>15</v>
          </cell>
          <cell r="E53">
            <v>8</v>
          </cell>
          <cell r="F53">
            <v>15</v>
          </cell>
          <cell r="G53">
            <v>23</v>
          </cell>
          <cell r="H53">
            <v>0</v>
          </cell>
          <cell r="I53">
            <v>8</v>
          </cell>
          <cell r="J53">
            <v>23</v>
          </cell>
          <cell r="K53">
            <v>8</v>
          </cell>
          <cell r="L53">
            <v>0</v>
          </cell>
          <cell r="M53">
            <v>8</v>
          </cell>
          <cell r="N53">
            <v>25</v>
          </cell>
          <cell r="O53">
            <v>23</v>
          </cell>
          <cell r="P53">
            <v>23</v>
          </cell>
          <cell r="Q53">
            <v>0</v>
          </cell>
          <cell r="R53">
            <v>0</v>
          </cell>
          <cell r="S53">
            <v>8</v>
          </cell>
          <cell r="T53">
            <v>15</v>
          </cell>
          <cell r="U53">
            <v>23</v>
          </cell>
          <cell r="V53">
            <v>23</v>
          </cell>
          <cell r="W53">
            <v>15</v>
          </cell>
          <cell r="X53">
            <v>8</v>
          </cell>
          <cell r="Y53">
            <v>15</v>
          </cell>
          <cell r="Z53">
            <v>25</v>
          </cell>
          <cell r="AA53">
            <v>25</v>
          </cell>
          <cell r="AB53">
            <v>25</v>
          </cell>
          <cell r="AC53">
            <v>15</v>
          </cell>
          <cell r="AD53">
            <v>8</v>
          </cell>
          <cell r="AE53">
            <v>25</v>
          </cell>
          <cell r="AF53">
            <v>15</v>
          </cell>
          <cell r="AG53">
            <v>15</v>
          </cell>
          <cell r="AH53">
            <v>15</v>
          </cell>
          <cell r="AI53">
            <v>15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23</v>
          </cell>
          <cell r="AO53">
            <v>23</v>
          </cell>
          <cell r="AP53">
            <v>25</v>
          </cell>
          <cell r="AQ53">
            <v>0</v>
          </cell>
          <cell r="AR53">
            <v>0</v>
          </cell>
          <cell r="AS53">
            <v>23</v>
          </cell>
          <cell r="AT53">
            <v>8</v>
          </cell>
          <cell r="AU53">
            <v>15</v>
          </cell>
          <cell r="AV53">
            <v>15</v>
          </cell>
          <cell r="AW53">
            <v>15</v>
          </cell>
          <cell r="AX53">
            <v>0</v>
          </cell>
          <cell r="AY53">
            <v>639</v>
          </cell>
          <cell r="AZ53">
            <v>21</v>
          </cell>
          <cell r="BA53">
            <v>35</v>
          </cell>
          <cell r="BB53">
            <v>0</v>
          </cell>
          <cell r="BC53">
            <v>11</v>
          </cell>
          <cell r="BD53">
            <v>35</v>
          </cell>
          <cell r="BE53">
            <v>11</v>
          </cell>
          <cell r="BF53">
            <v>21</v>
          </cell>
          <cell r="BG53">
            <v>0</v>
          </cell>
          <cell r="BH53">
            <v>134</v>
          </cell>
          <cell r="BI53">
            <v>24</v>
          </cell>
          <cell r="BJ53">
            <v>0</v>
          </cell>
          <cell r="BK53">
            <v>0</v>
          </cell>
          <cell r="BL53">
            <v>24</v>
          </cell>
          <cell r="BM53">
            <v>48</v>
          </cell>
          <cell r="BN53">
            <v>18</v>
          </cell>
          <cell r="BO53">
            <v>0</v>
          </cell>
          <cell r="BP53">
            <v>18</v>
          </cell>
          <cell r="BQ53">
            <v>0</v>
          </cell>
          <cell r="BR53">
            <v>0</v>
          </cell>
          <cell r="BS53">
            <v>72</v>
          </cell>
          <cell r="BT53">
            <v>72</v>
          </cell>
          <cell r="BU53">
            <v>911</v>
          </cell>
        </row>
        <row r="54">
          <cell r="C54">
            <v>23</v>
          </cell>
          <cell r="D54">
            <v>15</v>
          </cell>
          <cell r="E54">
            <v>0</v>
          </cell>
          <cell r="F54">
            <v>0</v>
          </cell>
          <cell r="G54">
            <v>15</v>
          </cell>
          <cell r="H54">
            <v>8</v>
          </cell>
          <cell r="I54">
            <v>8</v>
          </cell>
          <cell r="J54">
            <v>23</v>
          </cell>
          <cell r="K54">
            <v>0</v>
          </cell>
          <cell r="L54">
            <v>0</v>
          </cell>
          <cell r="M54">
            <v>8</v>
          </cell>
          <cell r="N54">
            <v>8</v>
          </cell>
          <cell r="O54">
            <v>25</v>
          </cell>
          <cell r="P54">
            <v>23</v>
          </cell>
          <cell r="Q54">
            <v>0</v>
          </cell>
          <cell r="R54">
            <v>0</v>
          </cell>
          <cell r="S54">
            <v>8</v>
          </cell>
          <cell r="T54">
            <v>15</v>
          </cell>
          <cell r="U54">
            <v>23</v>
          </cell>
          <cell r="V54">
            <v>23</v>
          </cell>
          <cell r="W54">
            <v>15</v>
          </cell>
          <cell r="X54">
            <v>0</v>
          </cell>
          <cell r="Y54">
            <v>0</v>
          </cell>
          <cell r="Z54">
            <v>23</v>
          </cell>
          <cell r="AA54">
            <v>0</v>
          </cell>
          <cell r="AB54">
            <v>15</v>
          </cell>
          <cell r="AC54">
            <v>15</v>
          </cell>
          <cell r="AD54">
            <v>25</v>
          </cell>
          <cell r="AE54">
            <v>15</v>
          </cell>
          <cell r="AF54">
            <v>15</v>
          </cell>
          <cell r="AG54">
            <v>15</v>
          </cell>
          <cell r="AH54">
            <v>0</v>
          </cell>
          <cell r="AI54">
            <v>0</v>
          </cell>
          <cell r="AJ54">
            <v>8</v>
          </cell>
          <cell r="AK54">
            <v>8</v>
          </cell>
          <cell r="AL54">
            <v>0</v>
          </cell>
          <cell r="AM54">
            <v>15</v>
          </cell>
          <cell r="AN54">
            <v>23</v>
          </cell>
          <cell r="AO54">
            <v>23</v>
          </cell>
          <cell r="AP54">
            <v>8</v>
          </cell>
          <cell r="AQ54">
            <v>0</v>
          </cell>
          <cell r="AR54">
            <v>0</v>
          </cell>
          <cell r="AS54">
            <v>23</v>
          </cell>
          <cell r="AT54">
            <v>15</v>
          </cell>
          <cell r="AU54">
            <v>25</v>
          </cell>
          <cell r="AV54">
            <v>25</v>
          </cell>
          <cell r="AW54">
            <v>8</v>
          </cell>
          <cell r="AX54">
            <v>8</v>
          </cell>
          <cell r="AY54">
            <v>552</v>
          </cell>
          <cell r="AZ54">
            <v>21</v>
          </cell>
          <cell r="BA54">
            <v>0</v>
          </cell>
          <cell r="BB54">
            <v>0</v>
          </cell>
          <cell r="BC54">
            <v>0</v>
          </cell>
          <cell r="BD54">
            <v>32</v>
          </cell>
          <cell r="BE54">
            <v>11</v>
          </cell>
          <cell r="BF54">
            <v>21</v>
          </cell>
          <cell r="BG54">
            <v>11</v>
          </cell>
          <cell r="BH54">
            <v>96</v>
          </cell>
          <cell r="BI54">
            <v>36</v>
          </cell>
          <cell r="BJ54">
            <v>0</v>
          </cell>
          <cell r="BK54">
            <v>0</v>
          </cell>
          <cell r="BL54">
            <v>24</v>
          </cell>
          <cell r="BM54">
            <v>60</v>
          </cell>
          <cell r="BN54">
            <v>18</v>
          </cell>
          <cell r="BO54">
            <v>18</v>
          </cell>
          <cell r="BP54">
            <v>36</v>
          </cell>
          <cell r="BQ54">
            <v>21</v>
          </cell>
          <cell r="BR54">
            <v>21</v>
          </cell>
          <cell r="BS54">
            <v>0</v>
          </cell>
          <cell r="BT54">
            <v>0</v>
          </cell>
          <cell r="BU54">
            <v>765</v>
          </cell>
        </row>
      </sheetData>
      <sheetData sheetId="11">
        <row r="2">
          <cell r="AI2" t="str">
            <v>FRA</v>
          </cell>
        </row>
      </sheetData>
      <sheetData sheetId="12">
        <row r="1">
          <cell r="A1" t="str">
            <v>Form.No.</v>
          </cell>
          <cell r="B1" t="str">
            <v>Fase:</v>
          </cell>
          <cell r="C1" t="str">
            <v>1GA</v>
          </cell>
          <cell r="D1" t="str">
            <v>1GB</v>
          </cell>
          <cell r="E1" t="str">
            <v>1GC</v>
          </cell>
          <cell r="F1" t="str">
            <v>1GD</v>
          </cell>
          <cell r="G1" t="str">
            <v>1GE</v>
          </cell>
          <cell r="H1" t="str">
            <v>1GF</v>
          </cell>
          <cell r="I1" t="str">
            <v>1GG</v>
          </cell>
          <cell r="J1" t="str">
            <v>1GH</v>
          </cell>
          <cell r="K1" t="str">
            <v>8vos</v>
          </cell>
          <cell r="L1" t="str">
            <v>CF1</v>
          </cell>
          <cell r="M1" t="str">
            <v>CF2</v>
          </cell>
          <cell r="N1" t="str">
            <v>CF3</v>
          </cell>
          <cell r="O1" t="str">
            <v>CF4</v>
          </cell>
          <cell r="P1" t="str">
            <v>4tos</v>
          </cell>
          <cell r="Q1" t="str">
            <v>SF1</v>
          </cell>
          <cell r="R1" t="str">
            <v>SF2</v>
          </cell>
          <cell r="S1" t="str">
            <v>Esem</v>
          </cell>
          <cell r="T1" t="str">
            <v>PSF</v>
          </cell>
          <cell r="U1" t="str">
            <v>GSF</v>
          </cell>
          <cell r="V1" t="str">
            <v>Efin</v>
          </cell>
          <cell r="W1" t="str">
            <v>CHO</v>
          </cell>
          <cell r="X1" t="str">
            <v>Total</v>
          </cell>
        </row>
        <row r="2">
          <cell r="A2"/>
          <cell r="B2" t="str">
            <v>No. Aciertos</v>
          </cell>
          <cell r="C2">
            <v>5</v>
          </cell>
          <cell r="D2">
            <v>11</v>
          </cell>
          <cell r="E2">
            <v>0</v>
          </cell>
          <cell r="F2">
            <v>23</v>
          </cell>
          <cell r="G2">
            <v>0</v>
          </cell>
          <cell r="H2">
            <v>0</v>
          </cell>
          <cell r="I2">
            <v>30</v>
          </cell>
          <cell r="J2">
            <v>0</v>
          </cell>
          <cell r="K2" t="str">
            <v>Puntos Equipos</v>
          </cell>
          <cell r="L2">
            <v>20</v>
          </cell>
          <cell r="M2">
            <v>24</v>
          </cell>
          <cell r="N2">
            <v>0</v>
          </cell>
          <cell r="O2">
            <v>0</v>
          </cell>
          <cell r="P2" t="str">
            <v>Puntos Equipos</v>
          </cell>
          <cell r="Q2">
            <v>0</v>
          </cell>
          <cell r="R2">
            <v>0</v>
          </cell>
          <cell r="S2" t="str">
            <v>Puntos Equipos</v>
          </cell>
          <cell r="T2">
            <v>0</v>
          </cell>
          <cell r="U2">
            <v>0</v>
          </cell>
          <cell r="V2" t="str">
            <v>Puntos Equipos</v>
          </cell>
          <cell r="W2">
            <v>0</v>
          </cell>
          <cell r="X2" t="str">
            <v>Puntos</v>
          </cell>
        </row>
        <row r="3">
          <cell r="A3"/>
          <cell r="B3" t="str">
            <v>No. Sin puntos</v>
          </cell>
          <cell r="C3">
            <v>1</v>
          </cell>
          <cell r="D3">
            <v>0</v>
          </cell>
          <cell r="E3">
            <v>0</v>
          </cell>
          <cell r="F3">
            <v>22</v>
          </cell>
          <cell r="G3">
            <v>0</v>
          </cell>
          <cell r="H3">
            <v>18</v>
          </cell>
          <cell r="I3">
            <v>0</v>
          </cell>
          <cell r="J3">
            <v>9</v>
          </cell>
          <cell r="K3" t="str">
            <v>Total</v>
          </cell>
          <cell r="L3">
            <v>1</v>
          </cell>
          <cell r="M3">
            <v>0</v>
          </cell>
          <cell r="N3">
            <v>44</v>
          </cell>
          <cell r="O3">
            <v>43</v>
          </cell>
          <cell r="P3" t="str">
            <v>Total</v>
          </cell>
          <cell r="Q3">
            <v>17</v>
          </cell>
          <cell r="R3">
            <v>50</v>
          </cell>
          <cell r="S3" t="str">
            <v>Total</v>
          </cell>
          <cell r="T3">
            <v>48</v>
          </cell>
          <cell r="U3">
            <v>46</v>
          </cell>
          <cell r="V3" t="str">
            <v>Total</v>
          </cell>
          <cell r="W3">
            <v>0</v>
          </cell>
          <cell r="X3" t="str">
            <v>Equipos</v>
          </cell>
        </row>
        <row r="4">
          <cell r="A4">
            <v>1</v>
          </cell>
          <cell r="B4" t="str">
            <v>María Eugenia de Lemaitre</v>
          </cell>
          <cell r="C4">
            <v>35</v>
          </cell>
          <cell r="D4">
            <v>25</v>
          </cell>
          <cell r="E4">
            <v>18</v>
          </cell>
          <cell r="F4">
            <v>35</v>
          </cell>
          <cell r="G4">
            <v>35</v>
          </cell>
          <cell r="H4">
            <v>0</v>
          </cell>
          <cell r="I4">
            <v>25</v>
          </cell>
          <cell r="J4">
            <v>18</v>
          </cell>
          <cell r="K4">
            <v>191</v>
          </cell>
          <cell r="L4">
            <v>30</v>
          </cell>
          <cell r="M4">
            <v>60</v>
          </cell>
          <cell r="N4">
            <v>30</v>
          </cell>
          <cell r="O4">
            <v>30</v>
          </cell>
          <cell r="P4">
            <v>150</v>
          </cell>
          <cell r="Q4">
            <v>30</v>
          </cell>
          <cell r="R4">
            <v>0</v>
          </cell>
          <cell r="S4">
            <v>30</v>
          </cell>
          <cell r="T4">
            <v>40</v>
          </cell>
          <cell r="U4">
            <v>0</v>
          </cell>
          <cell r="V4">
            <v>40</v>
          </cell>
          <cell r="W4">
            <v>30</v>
          </cell>
          <cell r="X4">
            <v>441</v>
          </cell>
        </row>
        <row r="5">
          <cell r="A5">
            <v>2</v>
          </cell>
          <cell r="B5" t="str">
            <v>Andres &amp; JuanB Harker</v>
          </cell>
          <cell r="C5">
            <v>18</v>
          </cell>
          <cell r="D5">
            <v>35</v>
          </cell>
          <cell r="E5">
            <v>18</v>
          </cell>
          <cell r="F5">
            <v>25</v>
          </cell>
          <cell r="G5">
            <v>18</v>
          </cell>
          <cell r="H5">
            <v>12</v>
          </cell>
          <cell r="I5">
            <v>35</v>
          </cell>
          <cell r="J5">
            <v>18</v>
          </cell>
          <cell r="K5">
            <v>179</v>
          </cell>
          <cell r="L5">
            <v>60</v>
          </cell>
          <cell r="M5">
            <v>50</v>
          </cell>
          <cell r="N5">
            <v>0</v>
          </cell>
          <cell r="O5">
            <v>0</v>
          </cell>
          <cell r="P5">
            <v>110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289</v>
          </cell>
        </row>
        <row r="6">
          <cell r="A6">
            <v>3</v>
          </cell>
          <cell r="B6" t="str">
            <v>Alexandra &amp; Camilo</v>
          </cell>
          <cell r="C6">
            <v>18</v>
          </cell>
          <cell r="D6">
            <v>35</v>
          </cell>
          <cell r="E6">
            <v>18</v>
          </cell>
          <cell r="F6">
            <v>25</v>
          </cell>
          <cell r="G6">
            <v>18</v>
          </cell>
          <cell r="H6">
            <v>12</v>
          </cell>
          <cell r="I6">
            <v>35</v>
          </cell>
          <cell r="J6">
            <v>0</v>
          </cell>
          <cell r="K6">
            <v>161</v>
          </cell>
          <cell r="L6">
            <v>30</v>
          </cell>
          <cell r="M6">
            <v>30</v>
          </cell>
          <cell r="N6">
            <v>0</v>
          </cell>
          <cell r="O6">
            <v>0</v>
          </cell>
          <cell r="P6">
            <v>60</v>
          </cell>
          <cell r="Q6">
            <v>40</v>
          </cell>
          <cell r="R6">
            <v>0</v>
          </cell>
          <cell r="S6">
            <v>40</v>
          </cell>
          <cell r="T6">
            <v>0</v>
          </cell>
          <cell r="U6">
            <v>0</v>
          </cell>
          <cell r="V6">
            <v>0</v>
          </cell>
          <cell r="W6">
            <v>25</v>
          </cell>
          <cell r="X6">
            <v>286</v>
          </cell>
        </row>
        <row r="7">
          <cell r="A7">
            <v>4</v>
          </cell>
          <cell r="B7" t="str">
            <v>Pierre &amp; Magdalena</v>
          </cell>
          <cell r="C7">
            <v>35</v>
          </cell>
          <cell r="D7">
            <v>35</v>
          </cell>
          <cell r="E7">
            <v>18</v>
          </cell>
          <cell r="F7">
            <v>0</v>
          </cell>
          <cell r="G7">
            <v>18</v>
          </cell>
          <cell r="H7">
            <v>12</v>
          </cell>
          <cell r="I7">
            <v>35</v>
          </cell>
          <cell r="J7">
            <v>18</v>
          </cell>
          <cell r="K7">
            <v>171</v>
          </cell>
          <cell r="L7">
            <v>30</v>
          </cell>
          <cell r="M7">
            <v>50</v>
          </cell>
          <cell r="N7">
            <v>0</v>
          </cell>
          <cell r="O7">
            <v>0</v>
          </cell>
          <cell r="P7">
            <v>80</v>
          </cell>
          <cell r="Q7">
            <v>40</v>
          </cell>
          <cell r="R7">
            <v>0</v>
          </cell>
          <cell r="S7">
            <v>40</v>
          </cell>
          <cell r="T7">
            <v>0</v>
          </cell>
          <cell r="U7">
            <v>0</v>
          </cell>
          <cell r="V7">
            <v>0</v>
          </cell>
          <cell r="W7">
            <v>25</v>
          </cell>
          <cell r="X7">
            <v>316</v>
          </cell>
        </row>
        <row r="8">
          <cell r="A8">
            <v>5</v>
          </cell>
          <cell r="B8" t="str">
            <v>Fernando Yañez</v>
          </cell>
          <cell r="C8">
            <v>35</v>
          </cell>
          <cell r="D8">
            <v>25</v>
          </cell>
          <cell r="E8">
            <v>18</v>
          </cell>
          <cell r="F8">
            <v>35</v>
          </cell>
          <cell r="G8">
            <v>35</v>
          </cell>
          <cell r="H8">
            <v>0</v>
          </cell>
          <cell r="I8">
            <v>25</v>
          </cell>
          <cell r="J8">
            <v>18</v>
          </cell>
          <cell r="K8">
            <v>191</v>
          </cell>
          <cell r="L8">
            <v>20</v>
          </cell>
          <cell r="M8">
            <v>60</v>
          </cell>
          <cell r="N8">
            <v>0</v>
          </cell>
          <cell r="O8">
            <v>30</v>
          </cell>
          <cell r="P8">
            <v>110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301</v>
          </cell>
        </row>
        <row r="9">
          <cell r="A9">
            <v>6</v>
          </cell>
          <cell r="B9" t="str">
            <v>Gonzalo Fonseca</v>
          </cell>
          <cell r="C9">
            <v>35</v>
          </cell>
          <cell r="D9">
            <v>35</v>
          </cell>
          <cell r="E9">
            <v>35</v>
          </cell>
          <cell r="F9">
            <v>0</v>
          </cell>
          <cell r="G9">
            <v>35</v>
          </cell>
          <cell r="H9">
            <v>0</v>
          </cell>
          <cell r="I9">
            <v>25</v>
          </cell>
          <cell r="J9">
            <v>18</v>
          </cell>
          <cell r="K9">
            <v>183</v>
          </cell>
          <cell r="L9">
            <v>60</v>
          </cell>
          <cell r="M9">
            <v>60</v>
          </cell>
          <cell r="N9">
            <v>0</v>
          </cell>
          <cell r="O9">
            <v>0</v>
          </cell>
          <cell r="P9">
            <v>120</v>
          </cell>
          <cell r="Q9">
            <v>40</v>
          </cell>
          <cell r="R9">
            <v>0</v>
          </cell>
          <cell r="S9">
            <v>40</v>
          </cell>
          <cell r="T9">
            <v>0</v>
          </cell>
          <cell r="U9">
            <v>0</v>
          </cell>
          <cell r="V9">
            <v>0</v>
          </cell>
          <cell r="W9">
            <v>25</v>
          </cell>
          <cell r="X9">
            <v>368</v>
          </cell>
        </row>
        <row r="10">
          <cell r="A10">
            <v>7</v>
          </cell>
          <cell r="B10" t="str">
            <v>Juan Kiko Harker</v>
          </cell>
          <cell r="C10">
            <v>35</v>
          </cell>
          <cell r="D10">
            <v>35</v>
          </cell>
          <cell r="E10">
            <v>35</v>
          </cell>
          <cell r="F10">
            <v>25</v>
          </cell>
          <cell r="G10">
            <v>18</v>
          </cell>
          <cell r="H10">
            <v>0</v>
          </cell>
          <cell r="I10">
            <v>25</v>
          </cell>
          <cell r="J10">
            <v>0</v>
          </cell>
          <cell r="K10">
            <v>173</v>
          </cell>
          <cell r="L10">
            <v>60</v>
          </cell>
          <cell r="M10">
            <v>60</v>
          </cell>
          <cell r="N10">
            <v>0</v>
          </cell>
          <cell r="O10">
            <v>20</v>
          </cell>
          <cell r="P10">
            <v>140</v>
          </cell>
          <cell r="Q10">
            <v>40</v>
          </cell>
          <cell r="R10">
            <v>0</v>
          </cell>
          <cell r="S10">
            <v>40</v>
          </cell>
          <cell r="T10">
            <v>0</v>
          </cell>
          <cell r="U10">
            <v>0</v>
          </cell>
          <cell r="V10">
            <v>0</v>
          </cell>
          <cell r="W10">
            <v>25</v>
          </cell>
          <cell r="X10">
            <v>378</v>
          </cell>
        </row>
        <row r="11">
          <cell r="A11">
            <v>8</v>
          </cell>
          <cell r="B11" t="str">
            <v>Dionisio Araujo V</v>
          </cell>
          <cell r="C11">
            <v>35</v>
          </cell>
          <cell r="D11">
            <v>35</v>
          </cell>
          <cell r="E11">
            <v>35</v>
          </cell>
          <cell r="F11">
            <v>25</v>
          </cell>
          <cell r="G11">
            <v>18</v>
          </cell>
          <cell r="H11">
            <v>12</v>
          </cell>
          <cell r="I11">
            <v>25</v>
          </cell>
          <cell r="J11">
            <v>18</v>
          </cell>
          <cell r="K11">
            <v>203</v>
          </cell>
          <cell r="L11">
            <v>30</v>
          </cell>
          <cell r="M11">
            <v>60</v>
          </cell>
          <cell r="N11">
            <v>0</v>
          </cell>
          <cell r="O11">
            <v>0</v>
          </cell>
          <cell r="P11">
            <v>90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293</v>
          </cell>
        </row>
        <row r="12">
          <cell r="A12">
            <v>9</v>
          </cell>
          <cell r="B12" t="str">
            <v>Felipe Araujo A</v>
          </cell>
          <cell r="C12">
            <v>25</v>
          </cell>
          <cell r="D12">
            <v>25</v>
          </cell>
          <cell r="E12">
            <v>18</v>
          </cell>
          <cell r="F12">
            <v>25</v>
          </cell>
          <cell r="G12">
            <v>35</v>
          </cell>
          <cell r="H12">
            <v>12</v>
          </cell>
          <cell r="I12">
            <v>25</v>
          </cell>
          <cell r="J12">
            <v>18</v>
          </cell>
          <cell r="K12">
            <v>183</v>
          </cell>
          <cell r="L12">
            <v>20</v>
          </cell>
          <cell r="M12">
            <v>60</v>
          </cell>
          <cell r="N12">
            <v>0</v>
          </cell>
          <cell r="O12">
            <v>0</v>
          </cell>
          <cell r="P12">
            <v>80</v>
          </cell>
          <cell r="Q12">
            <v>70</v>
          </cell>
          <cell r="R12">
            <v>0</v>
          </cell>
          <cell r="S12">
            <v>70</v>
          </cell>
          <cell r="T12">
            <v>0</v>
          </cell>
          <cell r="U12">
            <v>0</v>
          </cell>
          <cell r="V12">
            <v>0</v>
          </cell>
          <cell r="W12">
            <v>50</v>
          </cell>
          <cell r="X12">
            <v>383</v>
          </cell>
        </row>
        <row r="13">
          <cell r="A13">
            <v>10</v>
          </cell>
          <cell r="B13" t="str">
            <v>Andres Borrero</v>
          </cell>
          <cell r="C13">
            <v>35</v>
          </cell>
          <cell r="D13">
            <v>35</v>
          </cell>
          <cell r="E13">
            <v>35</v>
          </cell>
          <cell r="F13">
            <v>0</v>
          </cell>
          <cell r="G13">
            <v>35</v>
          </cell>
          <cell r="H13">
            <v>12</v>
          </cell>
          <cell r="I13">
            <v>25</v>
          </cell>
          <cell r="J13">
            <v>18</v>
          </cell>
          <cell r="K13">
            <v>195</v>
          </cell>
          <cell r="L13">
            <v>60</v>
          </cell>
          <cell r="M13">
            <v>60</v>
          </cell>
          <cell r="N13">
            <v>0</v>
          </cell>
          <cell r="O13">
            <v>0</v>
          </cell>
          <cell r="P13">
            <v>120</v>
          </cell>
          <cell r="Q13">
            <v>40</v>
          </cell>
          <cell r="R13">
            <v>0</v>
          </cell>
          <cell r="S13">
            <v>40</v>
          </cell>
          <cell r="T13">
            <v>0</v>
          </cell>
          <cell r="U13">
            <v>0</v>
          </cell>
          <cell r="V13">
            <v>0</v>
          </cell>
          <cell r="W13">
            <v>25</v>
          </cell>
          <cell r="X13">
            <v>380</v>
          </cell>
        </row>
        <row r="14">
          <cell r="A14">
            <v>11</v>
          </cell>
          <cell r="B14" t="str">
            <v>Andres Lemaitre</v>
          </cell>
          <cell r="C14">
            <v>18</v>
          </cell>
          <cell r="D14">
            <v>35</v>
          </cell>
          <cell r="E14">
            <v>35</v>
          </cell>
          <cell r="F14">
            <v>25</v>
          </cell>
          <cell r="G14">
            <v>35</v>
          </cell>
          <cell r="H14">
            <v>0</v>
          </cell>
          <cell r="I14">
            <v>25</v>
          </cell>
          <cell r="J14">
            <v>0</v>
          </cell>
          <cell r="K14">
            <v>173</v>
          </cell>
          <cell r="L14">
            <v>30</v>
          </cell>
          <cell r="M14">
            <v>30</v>
          </cell>
          <cell r="N14">
            <v>30</v>
          </cell>
          <cell r="O14">
            <v>0</v>
          </cell>
          <cell r="P14">
            <v>90</v>
          </cell>
          <cell r="Q14">
            <v>40</v>
          </cell>
          <cell r="R14">
            <v>30</v>
          </cell>
          <cell r="S14">
            <v>70</v>
          </cell>
          <cell r="T14">
            <v>40</v>
          </cell>
          <cell r="U14">
            <v>0</v>
          </cell>
          <cell r="V14">
            <v>40</v>
          </cell>
          <cell r="W14">
            <v>40</v>
          </cell>
          <cell r="X14">
            <v>413</v>
          </cell>
        </row>
        <row r="15">
          <cell r="A15">
            <v>12</v>
          </cell>
          <cell r="B15" t="str">
            <v>Felipe Bonilla</v>
          </cell>
          <cell r="C15">
            <v>35</v>
          </cell>
          <cell r="D15">
            <v>35</v>
          </cell>
          <cell r="E15">
            <v>18</v>
          </cell>
          <cell r="F15">
            <v>0</v>
          </cell>
          <cell r="G15">
            <v>18</v>
          </cell>
          <cell r="H15">
            <v>0</v>
          </cell>
          <cell r="I15">
            <v>35</v>
          </cell>
          <cell r="J15">
            <v>18</v>
          </cell>
          <cell r="K15">
            <v>159</v>
          </cell>
          <cell r="L15">
            <v>30</v>
          </cell>
          <cell r="M15">
            <v>60</v>
          </cell>
          <cell r="N15">
            <v>0</v>
          </cell>
          <cell r="O15">
            <v>0</v>
          </cell>
          <cell r="P15">
            <v>90</v>
          </cell>
          <cell r="Q15">
            <v>70</v>
          </cell>
          <cell r="R15">
            <v>0</v>
          </cell>
          <cell r="S15">
            <v>70</v>
          </cell>
          <cell r="T15">
            <v>0</v>
          </cell>
          <cell r="U15">
            <v>0</v>
          </cell>
          <cell r="V15">
            <v>0</v>
          </cell>
          <cell r="W15">
            <v>50</v>
          </cell>
          <cell r="X15">
            <v>369</v>
          </cell>
        </row>
        <row r="16">
          <cell r="A16">
            <v>13</v>
          </cell>
          <cell r="B16" t="str">
            <v>Carlos A Pareja</v>
          </cell>
          <cell r="C16">
            <v>25</v>
          </cell>
          <cell r="D16">
            <v>35</v>
          </cell>
          <cell r="E16">
            <v>18</v>
          </cell>
          <cell r="F16">
            <v>25</v>
          </cell>
          <cell r="G16">
            <v>18</v>
          </cell>
          <cell r="H16">
            <v>12</v>
          </cell>
          <cell r="I16">
            <v>25</v>
          </cell>
          <cell r="J16">
            <v>18</v>
          </cell>
          <cell r="K16">
            <v>176</v>
          </cell>
          <cell r="L16">
            <v>20</v>
          </cell>
          <cell r="M16">
            <v>60</v>
          </cell>
          <cell r="N16">
            <v>0</v>
          </cell>
          <cell r="O16">
            <v>0</v>
          </cell>
          <cell r="P16">
            <v>80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256</v>
          </cell>
        </row>
        <row r="17">
          <cell r="A17">
            <v>14</v>
          </cell>
          <cell r="B17" t="str">
            <v>Nicolas Mujica R</v>
          </cell>
          <cell r="C17">
            <v>35</v>
          </cell>
          <cell r="D17">
            <v>35</v>
          </cell>
          <cell r="E17">
            <v>18</v>
          </cell>
          <cell r="F17">
            <v>25</v>
          </cell>
          <cell r="G17">
            <v>18</v>
          </cell>
          <cell r="H17">
            <v>0</v>
          </cell>
          <cell r="I17">
            <v>35</v>
          </cell>
          <cell r="J17">
            <v>18</v>
          </cell>
          <cell r="K17">
            <v>184</v>
          </cell>
          <cell r="L17">
            <v>60</v>
          </cell>
          <cell r="M17">
            <v>50</v>
          </cell>
          <cell r="N17">
            <v>0</v>
          </cell>
          <cell r="O17">
            <v>0</v>
          </cell>
          <cell r="P17">
            <v>110</v>
          </cell>
          <cell r="Q17">
            <v>40</v>
          </cell>
          <cell r="R17">
            <v>0</v>
          </cell>
          <cell r="S17">
            <v>40</v>
          </cell>
          <cell r="T17">
            <v>0</v>
          </cell>
          <cell r="U17">
            <v>0</v>
          </cell>
          <cell r="V17">
            <v>0</v>
          </cell>
          <cell r="W17">
            <v>25</v>
          </cell>
          <cell r="X17">
            <v>359</v>
          </cell>
        </row>
        <row r="18">
          <cell r="A18">
            <v>15</v>
          </cell>
          <cell r="B18" t="str">
            <v>Felipe Fonseca</v>
          </cell>
          <cell r="C18">
            <v>35</v>
          </cell>
          <cell r="D18">
            <v>35</v>
          </cell>
          <cell r="E18">
            <v>35</v>
          </cell>
          <cell r="F18">
            <v>0</v>
          </cell>
          <cell r="G18">
            <v>18</v>
          </cell>
          <cell r="H18">
            <v>12</v>
          </cell>
          <cell r="I18">
            <v>35</v>
          </cell>
          <cell r="J18">
            <v>0</v>
          </cell>
          <cell r="K18">
            <v>170</v>
          </cell>
          <cell r="L18">
            <v>60</v>
          </cell>
          <cell r="M18">
            <v>30</v>
          </cell>
          <cell r="N18">
            <v>0</v>
          </cell>
          <cell r="O18">
            <v>0</v>
          </cell>
          <cell r="P18">
            <v>90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260</v>
          </cell>
        </row>
        <row r="19">
          <cell r="A19">
            <v>16</v>
          </cell>
          <cell r="B19" t="str">
            <v>Miguel A Ospina</v>
          </cell>
          <cell r="C19">
            <v>25</v>
          </cell>
          <cell r="D19">
            <v>35</v>
          </cell>
          <cell r="E19">
            <v>35</v>
          </cell>
          <cell r="F19">
            <v>0</v>
          </cell>
          <cell r="G19">
            <v>35</v>
          </cell>
          <cell r="H19">
            <v>12</v>
          </cell>
          <cell r="I19">
            <v>18</v>
          </cell>
          <cell r="J19">
            <v>18</v>
          </cell>
          <cell r="K19">
            <v>178</v>
          </cell>
          <cell r="L19">
            <v>20</v>
          </cell>
          <cell r="M19">
            <v>30</v>
          </cell>
          <cell r="N19">
            <v>0</v>
          </cell>
          <cell r="O19">
            <v>0</v>
          </cell>
          <cell r="P19">
            <v>50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228</v>
          </cell>
        </row>
        <row r="20">
          <cell r="A20">
            <v>17</v>
          </cell>
          <cell r="B20" t="str">
            <v>Christian Benitez</v>
          </cell>
          <cell r="C20">
            <v>35</v>
          </cell>
          <cell r="D20">
            <v>35</v>
          </cell>
          <cell r="E20">
            <v>18</v>
          </cell>
          <cell r="F20">
            <v>0</v>
          </cell>
          <cell r="G20">
            <v>35</v>
          </cell>
          <cell r="H20">
            <v>12</v>
          </cell>
          <cell r="I20">
            <v>25</v>
          </cell>
          <cell r="J20">
            <v>18</v>
          </cell>
          <cell r="K20">
            <v>178</v>
          </cell>
          <cell r="L20">
            <v>60</v>
          </cell>
          <cell r="M20">
            <v>60</v>
          </cell>
          <cell r="N20">
            <v>0</v>
          </cell>
          <cell r="O20">
            <v>0</v>
          </cell>
          <cell r="P20">
            <v>120</v>
          </cell>
          <cell r="Q20">
            <v>40</v>
          </cell>
          <cell r="R20">
            <v>0</v>
          </cell>
          <cell r="S20">
            <v>40</v>
          </cell>
          <cell r="T20">
            <v>0</v>
          </cell>
          <cell r="U20">
            <v>0</v>
          </cell>
          <cell r="V20">
            <v>0</v>
          </cell>
          <cell r="W20">
            <v>25</v>
          </cell>
          <cell r="X20">
            <v>363</v>
          </cell>
        </row>
        <row r="21">
          <cell r="A21">
            <v>18</v>
          </cell>
          <cell r="B21" t="str">
            <v>Andres Harker</v>
          </cell>
          <cell r="C21">
            <v>35</v>
          </cell>
          <cell r="D21">
            <v>35</v>
          </cell>
          <cell r="E21">
            <v>18</v>
          </cell>
          <cell r="F21">
            <v>35</v>
          </cell>
          <cell r="G21">
            <v>18</v>
          </cell>
          <cell r="H21">
            <v>12</v>
          </cell>
          <cell r="I21">
            <v>35</v>
          </cell>
          <cell r="J21">
            <v>0</v>
          </cell>
          <cell r="K21">
            <v>188</v>
          </cell>
          <cell r="L21">
            <v>30</v>
          </cell>
          <cell r="M21">
            <v>30</v>
          </cell>
          <cell r="N21">
            <v>20</v>
          </cell>
          <cell r="O21">
            <v>30</v>
          </cell>
          <cell r="P21">
            <v>110</v>
          </cell>
          <cell r="Q21">
            <v>40</v>
          </cell>
          <cell r="R21">
            <v>0</v>
          </cell>
          <cell r="S21">
            <v>40</v>
          </cell>
          <cell r="T21">
            <v>0</v>
          </cell>
          <cell r="U21">
            <v>0</v>
          </cell>
          <cell r="V21">
            <v>0</v>
          </cell>
          <cell r="W21">
            <v>25</v>
          </cell>
          <cell r="X21">
            <v>363</v>
          </cell>
        </row>
        <row r="22">
          <cell r="A22">
            <v>19</v>
          </cell>
          <cell r="B22" t="str">
            <v>John Rojas</v>
          </cell>
          <cell r="C22">
            <v>35</v>
          </cell>
          <cell r="D22">
            <v>35</v>
          </cell>
          <cell r="E22">
            <v>18</v>
          </cell>
          <cell r="F22">
            <v>25</v>
          </cell>
          <cell r="G22">
            <v>35</v>
          </cell>
          <cell r="H22">
            <v>12</v>
          </cell>
          <cell r="I22">
            <v>25</v>
          </cell>
          <cell r="J22">
            <v>18</v>
          </cell>
          <cell r="K22">
            <v>203</v>
          </cell>
          <cell r="L22">
            <v>60</v>
          </cell>
          <cell r="M22">
            <v>60</v>
          </cell>
          <cell r="N22">
            <v>0</v>
          </cell>
          <cell r="O22">
            <v>0</v>
          </cell>
          <cell r="P22">
            <v>120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323</v>
          </cell>
        </row>
        <row r="23">
          <cell r="A23">
            <v>20</v>
          </cell>
          <cell r="B23" t="str">
            <v>Alfredo Gómez</v>
          </cell>
          <cell r="C23">
            <v>35</v>
          </cell>
          <cell r="D23">
            <v>25</v>
          </cell>
          <cell r="E23">
            <v>35</v>
          </cell>
          <cell r="F23">
            <v>0</v>
          </cell>
          <cell r="G23">
            <v>18</v>
          </cell>
          <cell r="H23">
            <v>0</v>
          </cell>
          <cell r="I23">
            <v>25</v>
          </cell>
          <cell r="J23">
            <v>18</v>
          </cell>
          <cell r="K23">
            <v>156</v>
          </cell>
          <cell r="L23">
            <v>30</v>
          </cell>
          <cell r="M23">
            <v>30</v>
          </cell>
          <cell r="N23">
            <v>0</v>
          </cell>
          <cell r="O23">
            <v>0</v>
          </cell>
          <cell r="P23">
            <v>60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216</v>
          </cell>
        </row>
        <row r="24">
          <cell r="A24">
            <v>21</v>
          </cell>
          <cell r="B24" t="str">
            <v>Daniel Escobar</v>
          </cell>
          <cell r="C24">
            <v>18</v>
          </cell>
          <cell r="D24">
            <v>25</v>
          </cell>
          <cell r="E24">
            <v>35</v>
          </cell>
          <cell r="F24">
            <v>0</v>
          </cell>
          <cell r="G24">
            <v>35</v>
          </cell>
          <cell r="H24">
            <v>12</v>
          </cell>
          <cell r="I24">
            <v>35</v>
          </cell>
          <cell r="J24">
            <v>18</v>
          </cell>
          <cell r="K24">
            <v>178</v>
          </cell>
          <cell r="L24">
            <v>30</v>
          </cell>
          <cell r="M24">
            <v>50</v>
          </cell>
          <cell r="N24">
            <v>0</v>
          </cell>
          <cell r="O24">
            <v>0</v>
          </cell>
          <cell r="P24">
            <v>80</v>
          </cell>
          <cell r="Q24">
            <v>40</v>
          </cell>
          <cell r="R24">
            <v>0</v>
          </cell>
          <cell r="S24">
            <v>40</v>
          </cell>
          <cell r="T24">
            <v>0</v>
          </cell>
          <cell r="U24">
            <v>0</v>
          </cell>
          <cell r="V24">
            <v>0</v>
          </cell>
          <cell r="W24">
            <v>25</v>
          </cell>
          <cell r="X24">
            <v>323</v>
          </cell>
        </row>
        <row r="25">
          <cell r="A25">
            <v>22</v>
          </cell>
          <cell r="B25" t="str">
            <v>Juan S Araújo</v>
          </cell>
          <cell r="C25">
            <v>35</v>
          </cell>
          <cell r="D25">
            <v>35</v>
          </cell>
          <cell r="E25">
            <v>18</v>
          </cell>
          <cell r="F25">
            <v>25</v>
          </cell>
          <cell r="G25">
            <v>18</v>
          </cell>
          <cell r="H25">
            <v>12</v>
          </cell>
          <cell r="I25">
            <v>35</v>
          </cell>
          <cell r="J25">
            <v>18</v>
          </cell>
          <cell r="K25">
            <v>196</v>
          </cell>
          <cell r="L25">
            <v>40</v>
          </cell>
          <cell r="M25">
            <v>50</v>
          </cell>
          <cell r="N25">
            <v>20</v>
          </cell>
          <cell r="O25">
            <v>0</v>
          </cell>
          <cell r="P25">
            <v>110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306</v>
          </cell>
        </row>
        <row r="26">
          <cell r="A26">
            <v>23</v>
          </cell>
          <cell r="B26" t="str">
            <v>Natalia Uribe</v>
          </cell>
          <cell r="C26">
            <v>25</v>
          </cell>
          <cell r="D26">
            <v>35</v>
          </cell>
          <cell r="E26">
            <v>18</v>
          </cell>
          <cell r="F26">
            <v>0</v>
          </cell>
          <cell r="G26">
            <v>18</v>
          </cell>
          <cell r="H26">
            <v>12</v>
          </cell>
          <cell r="I26">
            <v>25</v>
          </cell>
          <cell r="J26">
            <v>0</v>
          </cell>
          <cell r="K26">
            <v>133</v>
          </cell>
          <cell r="L26">
            <v>30</v>
          </cell>
          <cell r="M26">
            <v>60</v>
          </cell>
          <cell r="N26">
            <v>0</v>
          </cell>
          <cell r="O26">
            <v>0</v>
          </cell>
          <cell r="P26">
            <v>90</v>
          </cell>
          <cell r="Q26">
            <v>30</v>
          </cell>
          <cell r="R26">
            <v>0</v>
          </cell>
          <cell r="S26">
            <v>30</v>
          </cell>
          <cell r="T26">
            <v>40</v>
          </cell>
          <cell r="U26">
            <v>0</v>
          </cell>
          <cell r="V26">
            <v>40</v>
          </cell>
          <cell r="W26">
            <v>30</v>
          </cell>
          <cell r="X26">
            <v>323</v>
          </cell>
        </row>
        <row r="27">
          <cell r="A27">
            <v>24</v>
          </cell>
          <cell r="B27" t="str">
            <v>Camilo Russi</v>
          </cell>
          <cell r="C27">
            <v>35</v>
          </cell>
          <cell r="D27">
            <v>35</v>
          </cell>
          <cell r="E27">
            <v>18</v>
          </cell>
          <cell r="F27">
            <v>0</v>
          </cell>
          <cell r="G27">
            <v>35</v>
          </cell>
          <cell r="H27">
            <v>12</v>
          </cell>
          <cell r="I27">
            <v>35</v>
          </cell>
          <cell r="J27">
            <v>18</v>
          </cell>
          <cell r="K27">
            <v>188</v>
          </cell>
          <cell r="L27">
            <v>60</v>
          </cell>
          <cell r="M27">
            <v>50</v>
          </cell>
          <cell r="N27">
            <v>0</v>
          </cell>
          <cell r="O27">
            <v>0</v>
          </cell>
          <cell r="P27">
            <v>110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298</v>
          </cell>
        </row>
        <row r="28">
          <cell r="A28">
            <v>25</v>
          </cell>
          <cell r="B28" t="str">
            <v>Enrique Uribe</v>
          </cell>
          <cell r="C28">
            <v>0</v>
          </cell>
          <cell r="D28">
            <v>35</v>
          </cell>
          <cell r="E28">
            <v>18</v>
          </cell>
          <cell r="F28">
            <v>0</v>
          </cell>
          <cell r="G28">
            <v>18</v>
          </cell>
          <cell r="H28">
            <v>12</v>
          </cell>
          <cell r="I28">
            <v>25</v>
          </cell>
          <cell r="J28">
            <v>0</v>
          </cell>
          <cell r="K28">
            <v>108</v>
          </cell>
          <cell r="L28">
            <v>50</v>
          </cell>
          <cell r="M28">
            <v>60</v>
          </cell>
          <cell r="N28">
            <v>0</v>
          </cell>
          <cell r="O28">
            <v>0</v>
          </cell>
          <cell r="P28">
            <v>110</v>
          </cell>
          <cell r="Q28">
            <v>40</v>
          </cell>
          <cell r="R28">
            <v>0</v>
          </cell>
          <cell r="S28">
            <v>40</v>
          </cell>
          <cell r="T28">
            <v>0</v>
          </cell>
          <cell r="U28">
            <v>0</v>
          </cell>
          <cell r="V28">
            <v>0</v>
          </cell>
          <cell r="W28">
            <v>25</v>
          </cell>
          <cell r="X28">
            <v>283</v>
          </cell>
        </row>
        <row r="29">
          <cell r="A29">
            <v>26</v>
          </cell>
          <cell r="B29" t="str">
            <v>Andres Aguirre</v>
          </cell>
          <cell r="C29">
            <v>35</v>
          </cell>
          <cell r="D29">
            <v>35</v>
          </cell>
          <cell r="E29">
            <v>18</v>
          </cell>
          <cell r="F29">
            <v>25</v>
          </cell>
          <cell r="G29">
            <v>18</v>
          </cell>
          <cell r="H29">
            <v>12</v>
          </cell>
          <cell r="I29">
            <v>25</v>
          </cell>
          <cell r="J29">
            <v>18</v>
          </cell>
          <cell r="K29">
            <v>186</v>
          </cell>
          <cell r="L29">
            <v>60</v>
          </cell>
          <cell r="M29">
            <v>60</v>
          </cell>
          <cell r="N29">
            <v>0</v>
          </cell>
          <cell r="O29">
            <v>0</v>
          </cell>
          <cell r="P29">
            <v>120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306</v>
          </cell>
        </row>
        <row r="30">
          <cell r="A30">
            <v>27</v>
          </cell>
          <cell r="B30" t="str">
            <v>Juan C Lemaitre</v>
          </cell>
          <cell r="C30">
            <v>35</v>
          </cell>
          <cell r="D30">
            <v>25</v>
          </cell>
          <cell r="E30">
            <v>35</v>
          </cell>
          <cell r="F30">
            <v>0</v>
          </cell>
          <cell r="G30">
            <v>18</v>
          </cell>
          <cell r="H30">
            <v>0</v>
          </cell>
          <cell r="I30">
            <v>25</v>
          </cell>
          <cell r="J30">
            <v>18</v>
          </cell>
          <cell r="K30">
            <v>156</v>
          </cell>
          <cell r="L30">
            <v>30</v>
          </cell>
          <cell r="M30">
            <v>60</v>
          </cell>
          <cell r="N30">
            <v>30</v>
          </cell>
          <cell r="O30">
            <v>0</v>
          </cell>
          <cell r="P30">
            <v>120</v>
          </cell>
          <cell r="Q30">
            <v>40</v>
          </cell>
          <cell r="R30">
            <v>0</v>
          </cell>
          <cell r="S30">
            <v>40</v>
          </cell>
          <cell r="T30">
            <v>0</v>
          </cell>
          <cell r="U30">
            <v>0</v>
          </cell>
          <cell r="V30">
            <v>0</v>
          </cell>
          <cell r="W30">
            <v>25</v>
          </cell>
          <cell r="X30">
            <v>341</v>
          </cell>
        </row>
        <row r="31">
          <cell r="A31">
            <v>28</v>
          </cell>
          <cell r="B31" t="str">
            <v>Fernando Fonseca</v>
          </cell>
          <cell r="C31">
            <v>35</v>
          </cell>
          <cell r="D31">
            <v>35</v>
          </cell>
          <cell r="E31">
            <v>18</v>
          </cell>
          <cell r="F31">
            <v>0</v>
          </cell>
          <cell r="G31">
            <v>18</v>
          </cell>
          <cell r="H31">
            <v>0</v>
          </cell>
          <cell r="I31">
            <v>35</v>
          </cell>
          <cell r="J31">
            <v>18</v>
          </cell>
          <cell r="K31">
            <v>159</v>
          </cell>
          <cell r="L31">
            <v>60</v>
          </cell>
          <cell r="M31">
            <v>50</v>
          </cell>
          <cell r="N31">
            <v>0</v>
          </cell>
          <cell r="O31">
            <v>0</v>
          </cell>
          <cell r="P31">
            <v>110</v>
          </cell>
          <cell r="Q31">
            <v>40</v>
          </cell>
          <cell r="R31">
            <v>0</v>
          </cell>
          <cell r="S31">
            <v>40</v>
          </cell>
          <cell r="T31">
            <v>0</v>
          </cell>
          <cell r="U31">
            <v>0</v>
          </cell>
          <cell r="V31">
            <v>0</v>
          </cell>
          <cell r="W31">
            <v>25</v>
          </cell>
          <cell r="X31">
            <v>334</v>
          </cell>
        </row>
        <row r="32">
          <cell r="A32">
            <v>29</v>
          </cell>
          <cell r="B32" t="str">
            <v>Rodofo Rojas</v>
          </cell>
          <cell r="C32">
            <v>35</v>
          </cell>
          <cell r="D32">
            <v>35</v>
          </cell>
          <cell r="E32">
            <v>35</v>
          </cell>
          <cell r="F32">
            <v>0</v>
          </cell>
          <cell r="G32">
            <v>35</v>
          </cell>
          <cell r="H32">
            <v>12</v>
          </cell>
          <cell r="I32">
            <v>35</v>
          </cell>
          <cell r="J32">
            <v>18</v>
          </cell>
          <cell r="K32">
            <v>205</v>
          </cell>
          <cell r="L32">
            <v>60</v>
          </cell>
          <cell r="M32">
            <v>50</v>
          </cell>
          <cell r="N32">
            <v>0</v>
          </cell>
          <cell r="O32">
            <v>0</v>
          </cell>
          <cell r="P32">
            <v>110</v>
          </cell>
          <cell r="Q32">
            <v>40</v>
          </cell>
          <cell r="R32">
            <v>0</v>
          </cell>
          <cell r="S32">
            <v>40</v>
          </cell>
          <cell r="T32">
            <v>0</v>
          </cell>
          <cell r="U32">
            <v>0</v>
          </cell>
          <cell r="V32">
            <v>0</v>
          </cell>
          <cell r="W32">
            <v>25</v>
          </cell>
          <cell r="X32">
            <v>380</v>
          </cell>
        </row>
        <row r="33">
          <cell r="A33">
            <v>30</v>
          </cell>
          <cell r="B33" t="str">
            <v>Cesar A Gómez</v>
          </cell>
          <cell r="C33">
            <v>35</v>
          </cell>
          <cell r="D33">
            <v>25</v>
          </cell>
          <cell r="E33">
            <v>18</v>
          </cell>
          <cell r="F33">
            <v>25</v>
          </cell>
          <cell r="G33">
            <v>18</v>
          </cell>
          <cell r="H33">
            <v>12</v>
          </cell>
          <cell r="I33">
            <v>25</v>
          </cell>
          <cell r="J33">
            <v>18</v>
          </cell>
          <cell r="K33">
            <v>176</v>
          </cell>
          <cell r="L33">
            <v>30</v>
          </cell>
          <cell r="M33">
            <v>60</v>
          </cell>
          <cell r="N33">
            <v>0</v>
          </cell>
          <cell r="O33">
            <v>30</v>
          </cell>
          <cell r="P33">
            <v>120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296</v>
          </cell>
        </row>
        <row r="34">
          <cell r="A34">
            <v>31</v>
          </cell>
          <cell r="B34" t="str">
            <v>Paula - Gonzalo</v>
          </cell>
          <cell r="C34">
            <v>18</v>
          </cell>
          <cell r="D34">
            <v>35</v>
          </cell>
          <cell r="E34">
            <v>18</v>
          </cell>
          <cell r="F34">
            <v>35</v>
          </cell>
          <cell r="G34">
            <v>35</v>
          </cell>
          <cell r="H34">
            <v>12</v>
          </cell>
          <cell r="I34">
            <v>35</v>
          </cell>
          <cell r="J34">
            <v>18</v>
          </cell>
          <cell r="K34">
            <v>206</v>
          </cell>
          <cell r="L34">
            <v>60</v>
          </cell>
          <cell r="M34">
            <v>50</v>
          </cell>
          <cell r="N34">
            <v>0</v>
          </cell>
          <cell r="O34">
            <v>30</v>
          </cell>
          <cell r="P34">
            <v>140</v>
          </cell>
          <cell r="Q34">
            <v>40</v>
          </cell>
          <cell r="R34">
            <v>0</v>
          </cell>
          <cell r="S34">
            <v>40</v>
          </cell>
          <cell r="T34">
            <v>0</v>
          </cell>
          <cell r="U34">
            <v>0</v>
          </cell>
          <cell r="V34">
            <v>0</v>
          </cell>
          <cell r="W34">
            <v>25</v>
          </cell>
          <cell r="X34">
            <v>411</v>
          </cell>
        </row>
        <row r="35">
          <cell r="A35">
            <v>32</v>
          </cell>
          <cell r="B35" t="str">
            <v xml:space="preserve">Roberto Fonnegra </v>
          </cell>
          <cell r="C35">
            <v>18</v>
          </cell>
          <cell r="D35">
            <v>35</v>
          </cell>
          <cell r="E35">
            <v>18</v>
          </cell>
          <cell r="F35">
            <v>25</v>
          </cell>
          <cell r="G35">
            <v>18</v>
          </cell>
          <cell r="H35">
            <v>0</v>
          </cell>
          <cell r="I35">
            <v>35</v>
          </cell>
          <cell r="J35">
            <v>18</v>
          </cell>
          <cell r="K35">
            <v>167</v>
          </cell>
          <cell r="L35">
            <v>60</v>
          </cell>
          <cell r="M35">
            <v>50</v>
          </cell>
          <cell r="N35">
            <v>0</v>
          </cell>
          <cell r="O35">
            <v>0</v>
          </cell>
          <cell r="P35">
            <v>110</v>
          </cell>
          <cell r="Q35">
            <v>40</v>
          </cell>
          <cell r="R35">
            <v>0</v>
          </cell>
          <cell r="S35">
            <v>40</v>
          </cell>
          <cell r="T35">
            <v>0</v>
          </cell>
          <cell r="U35">
            <v>0</v>
          </cell>
          <cell r="V35">
            <v>0</v>
          </cell>
          <cell r="W35">
            <v>25</v>
          </cell>
          <cell r="X35">
            <v>342</v>
          </cell>
        </row>
        <row r="36">
          <cell r="A36">
            <v>33</v>
          </cell>
          <cell r="B36" t="str">
            <v>Santiago Arbouin</v>
          </cell>
          <cell r="C36">
            <v>18</v>
          </cell>
          <cell r="D36">
            <v>35</v>
          </cell>
          <cell r="E36">
            <v>18</v>
          </cell>
          <cell r="F36">
            <v>25</v>
          </cell>
          <cell r="G36">
            <v>18</v>
          </cell>
          <cell r="H36">
            <v>0</v>
          </cell>
          <cell r="I36">
            <v>25</v>
          </cell>
          <cell r="J36">
            <v>18</v>
          </cell>
          <cell r="K36">
            <v>157</v>
          </cell>
          <cell r="L36">
            <v>30</v>
          </cell>
          <cell r="M36">
            <v>30</v>
          </cell>
          <cell r="N36">
            <v>0</v>
          </cell>
          <cell r="O36">
            <v>0</v>
          </cell>
          <cell r="P36">
            <v>60</v>
          </cell>
          <cell r="Q36">
            <v>40</v>
          </cell>
          <cell r="R36">
            <v>0</v>
          </cell>
          <cell r="S36">
            <v>40</v>
          </cell>
          <cell r="T36">
            <v>0</v>
          </cell>
          <cell r="U36">
            <v>0</v>
          </cell>
          <cell r="V36">
            <v>0</v>
          </cell>
          <cell r="W36">
            <v>25</v>
          </cell>
          <cell r="X36">
            <v>282</v>
          </cell>
        </row>
        <row r="37">
          <cell r="A37">
            <v>34</v>
          </cell>
          <cell r="B37" t="str">
            <v>Sebastián Aguirre</v>
          </cell>
          <cell r="C37">
            <v>18</v>
          </cell>
          <cell r="D37">
            <v>35</v>
          </cell>
          <cell r="E37">
            <v>35</v>
          </cell>
          <cell r="F37">
            <v>0</v>
          </cell>
          <cell r="G37">
            <v>18</v>
          </cell>
          <cell r="H37">
            <v>12</v>
          </cell>
          <cell r="I37">
            <v>35</v>
          </cell>
          <cell r="J37">
            <v>18</v>
          </cell>
          <cell r="K37">
            <v>171</v>
          </cell>
          <cell r="L37">
            <v>30</v>
          </cell>
          <cell r="M37">
            <v>50</v>
          </cell>
          <cell r="N37">
            <v>0</v>
          </cell>
          <cell r="O37">
            <v>0</v>
          </cell>
          <cell r="P37">
            <v>80</v>
          </cell>
          <cell r="Q37">
            <v>40</v>
          </cell>
          <cell r="R37">
            <v>0</v>
          </cell>
          <cell r="S37">
            <v>40</v>
          </cell>
          <cell r="T37">
            <v>0</v>
          </cell>
          <cell r="U37">
            <v>0</v>
          </cell>
          <cell r="V37">
            <v>0</v>
          </cell>
          <cell r="W37">
            <v>25</v>
          </cell>
          <cell r="X37">
            <v>316</v>
          </cell>
        </row>
        <row r="38">
          <cell r="A38">
            <v>35</v>
          </cell>
          <cell r="B38" t="str">
            <v>Martín Fonseca</v>
          </cell>
          <cell r="C38">
            <v>18</v>
          </cell>
          <cell r="D38">
            <v>35</v>
          </cell>
          <cell r="E38">
            <v>18</v>
          </cell>
          <cell r="F38">
            <v>0</v>
          </cell>
          <cell r="G38">
            <v>35</v>
          </cell>
          <cell r="H38">
            <v>0</v>
          </cell>
          <cell r="I38">
            <v>35</v>
          </cell>
          <cell r="J38">
            <v>18</v>
          </cell>
          <cell r="K38">
            <v>159</v>
          </cell>
          <cell r="L38">
            <v>60</v>
          </cell>
          <cell r="M38">
            <v>50</v>
          </cell>
          <cell r="N38">
            <v>0</v>
          </cell>
          <cell r="O38">
            <v>0</v>
          </cell>
          <cell r="P38">
            <v>110</v>
          </cell>
          <cell r="Q38">
            <v>40</v>
          </cell>
          <cell r="R38">
            <v>0</v>
          </cell>
          <cell r="S38">
            <v>40</v>
          </cell>
          <cell r="T38">
            <v>0</v>
          </cell>
          <cell r="U38">
            <v>55</v>
          </cell>
          <cell r="V38">
            <v>55</v>
          </cell>
          <cell r="W38">
            <v>80</v>
          </cell>
          <cell r="X38">
            <v>444</v>
          </cell>
        </row>
        <row r="39">
          <cell r="A39">
            <v>36</v>
          </cell>
          <cell r="B39" t="str">
            <v>Paulo &amp; Cia</v>
          </cell>
          <cell r="C39">
            <v>35</v>
          </cell>
          <cell r="D39">
            <v>35</v>
          </cell>
          <cell r="E39">
            <v>18</v>
          </cell>
          <cell r="F39">
            <v>25</v>
          </cell>
          <cell r="G39">
            <v>35</v>
          </cell>
          <cell r="H39">
            <v>12</v>
          </cell>
          <cell r="I39">
            <v>25</v>
          </cell>
          <cell r="J39">
            <v>18</v>
          </cell>
          <cell r="K39">
            <v>203</v>
          </cell>
          <cell r="L39">
            <v>60</v>
          </cell>
          <cell r="M39">
            <v>60</v>
          </cell>
          <cell r="N39">
            <v>0</v>
          </cell>
          <cell r="O39">
            <v>0</v>
          </cell>
          <cell r="P39">
            <v>120</v>
          </cell>
          <cell r="Q39">
            <v>40</v>
          </cell>
          <cell r="R39">
            <v>0</v>
          </cell>
          <cell r="S39">
            <v>40</v>
          </cell>
          <cell r="T39">
            <v>0</v>
          </cell>
          <cell r="U39">
            <v>0</v>
          </cell>
          <cell r="V39">
            <v>0</v>
          </cell>
          <cell r="W39">
            <v>25</v>
          </cell>
          <cell r="X39">
            <v>388</v>
          </cell>
        </row>
        <row r="40">
          <cell r="A40">
            <v>37</v>
          </cell>
          <cell r="B40" t="str">
            <v>Alejandro Fonseca</v>
          </cell>
          <cell r="C40">
            <v>18</v>
          </cell>
          <cell r="D40">
            <v>35</v>
          </cell>
          <cell r="E40">
            <v>18</v>
          </cell>
          <cell r="F40">
            <v>25</v>
          </cell>
          <cell r="G40">
            <v>35</v>
          </cell>
          <cell r="H40">
            <v>12</v>
          </cell>
          <cell r="I40">
            <v>35</v>
          </cell>
          <cell r="J40">
            <v>18</v>
          </cell>
          <cell r="K40">
            <v>196</v>
          </cell>
          <cell r="L40">
            <v>60</v>
          </cell>
          <cell r="M40">
            <v>50</v>
          </cell>
          <cell r="N40">
            <v>0</v>
          </cell>
          <cell r="O40">
            <v>0</v>
          </cell>
          <cell r="P40">
            <v>110</v>
          </cell>
          <cell r="Q40">
            <v>40</v>
          </cell>
          <cell r="R40">
            <v>0</v>
          </cell>
          <cell r="S40">
            <v>40</v>
          </cell>
          <cell r="T40">
            <v>0</v>
          </cell>
          <cell r="U40">
            <v>55</v>
          </cell>
          <cell r="V40">
            <v>55</v>
          </cell>
          <cell r="W40">
            <v>80</v>
          </cell>
          <cell r="X40">
            <v>481</v>
          </cell>
        </row>
        <row r="41">
          <cell r="A41">
            <v>38</v>
          </cell>
          <cell r="B41" t="str">
            <v>Juan Carlos Pelaez</v>
          </cell>
          <cell r="C41">
            <v>18</v>
          </cell>
          <cell r="D41">
            <v>35</v>
          </cell>
          <cell r="E41">
            <v>18</v>
          </cell>
          <cell r="F41">
            <v>0</v>
          </cell>
          <cell r="G41">
            <v>35</v>
          </cell>
          <cell r="H41">
            <v>0</v>
          </cell>
          <cell r="I41">
            <v>25</v>
          </cell>
          <cell r="J41">
            <v>18</v>
          </cell>
          <cell r="K41">
            <v>149</v>
          </cell>
          <cell r="L41">
            <v>60</v>
          </cell>
          <cell r="M41">
            <v>60</v>
          </cell>
          <cell r="N41">
            <v>0</v>
          </cell>
          <cell r="O41">
            <v>0</v>
          </cell>
          <cell r="P41">
            <v>120</v>
          </cell>
          <cell r="Q41">
            <v>40</v>
          </cell>
          <cell r="R41">
            <v>0</v>
          </cell>
          <cell r="S41">
            <v>40</v>
          </cell>
          <cell r="T41">
            <v>0</v>
          </cell>
          <cell r="U41">
            <v>0</v>
          </cell>
          <cell r="V41">
            <v>0</v>
          </cell>
          <cell r="W41">
            <v>25</v>
          </cell>
          <cell r="X41">
            <v>334</v>
          </cell>
        </row>
        <row r="42">
          <cell r="A42">
            <v>39</v>
          </cell>
          <cell r="B42" t="str">
            <v>Oscar Cuervo</v>
          </cell>
          <cell r="C42">
            <v>35</v>
          </cell>
          <cell r="D42">
            <v>35</v>
          </cell>
          <cell r="E42">
            <v>35</v>
          </cell>
          <cell r="F42">
            <v>25</v>
          </cell>
          <cell r="G42">
            <v>18</v>
          </cell>
          <cell r="H42">
            <v>12</v>
          </cell>
          <cell r="I42">
            <v>25</v>
          </cell>
          <cell r="J42">
            <v>18</v>
          </cell>
          <cell r="K42">
            <v>203</v>
          </cell>
          <cell r="L42">
            <v>30</v>
          </cell>
          <cell r="M42">
            <v>30</v>
          </cell>
          <cell r="N42">
            <v>0</v>
          </cell>
          <cell r="O42">
            <v>0</v>
          </cell>
          <cell r="P42">
            <v>60</v>
          </cell>
          <cell r="Q42">
            <v>40</v>
          </cell>
          <cell r="R42">
            <v>0</v>
          </cell>
          <cell r="S42">
            <v>40</v>
          </cell>
          <cell r="T42">
            <v>0</v>
          </cell>
          <cell r="U42">
            <v>55</v>
          </cell>
          <cell r="V42">
            <v>55</v>
          </cell>
          <cell r="W42">
            <v>65</v>
          </cell>
          <cell r="X42">
            <v>423</v>
          </cell>
        </row>
        <row r="43">
          <cell r="A43">
            <v>40</v>
          </cell>
          <cell r="B43" t="str">
            <v>Asmed Garcia</v>
          </cell>
          <cell r="C43">
            <v>35</v>
          </cell>
          <cell r="D43">
            <v>35</v>
          </cell>
          <cell r="E43">
            <v>18</v>
          </cell>
          <cell r="F43">
            <v>25</v>
          </cell>
          <cell r="G43">
            <v>35</v>
          </cell>
          <cell r="H43">
            <v>12</v>
          </cell>
          <cell r="I43">
            <v>25</v>
          </cell>
          <cell r="J43">
            <v>18</v>
          </cell>
          <cell r="K43">
            <v>203</v>
          </cell>
          <cell r="L43">
            <v>20</v>
          </cell>
          <cell r="M43">
            <v>60</v>
          </cell>
          <cell r="N43">
            <v>0</v>
          </cell>
          <cell r="O43">
            <v>0</v>
          </cell>
          <cell r="P43">
            <v>80</v>
          </cell>
          <cell r="Q43">
            <v>30</v>
          </cell>
          <cell r="R43">
            <v>0</v>
          </cell>
          <cell r="S43">
            <v>30</v>
          </cell>
          <cell r="T43">
            <v>0</v>
          </cell>
          <cell r="U43">
            <v>0</v>
          </cell>
          <cell r="V43">
            <v>0</v>
          </cell>
          <cell r="W43">
            <v>25</v>
          </cell>
          <cell r="X43">
            <v>338</v>
          </cell>
        </row>
        <row r="44">
          <cell r="A44">
            <v>41</v>
          </cell>
          <cell r="B44" t="str">
            <v>Juan Fernando Fonseca</v>
          </cell>
          <cell r="C44">
            <v>35</v>
          </cell>
          <cell r="D44">
            <v>35</v>
          </cell>
          <cell r="E44">
            <v>35</v>
          </cell>
          <cell r="F44">
            <v>25</v>
          </cell>
          <cell r="G44">
            <v>18</v>
          </cell>
          <cell r="H44">
            <v>0</v>
          </cell>
          <cell r="I44">
            <v>25</v>
          </cell>
          <cell r="J44">
            <v>35</v>
          </cell>
          <cell r="K44">
            <v>208</v>
          </cell>
          <cell r="L44">
            <v>30</v>
          </cell>
          <cell r="M44">
            <v>60</v>
          </cell>
          <cell r="N44">
            <v>0</v>
          </cell>
          <cell r="O44">
            <v>0</v>
          </cell>
          <cell r="P44">
            <v>90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298</v>
          </cell>
        </row>
        <row r="45">
          <cell r="A45">
            <v>42</v>
          </cell>
          <cell r="B45" t="str">
            <v>Sandra Díez</v>
          </cell>
          <cell r="C45">
            <v>35</v>
          </cell>
          <cell r="D45">
            <v>35</v>
          </cell>
          <cell r="E45">
            <v>18</v>
          </cell>
          <cell r="F45">
            <v>25</v>
          </cell>
          <cell r="G45">
            <v>18</v>
          </cell>
          <cell r="H45">
            <v>0</v>
          </cell>
          <cell r="I45">
            <v>25</v>
          </cell>
          <cell r="J45">
            <v>18</v>
          </cell>
          <cell r="K45">
            <v>174</v>
          </cell>
          <cell r="L45">
            <v>30</v>
          </cell>
          <cell r="M45">
            <v>60</v>
          </cell>
          <cell r="N45">
            <v>0</v>
          </cell>
          <cell r="O45">
            <v>0</v>
          </cell>
          <cell r="P45">
            <v>90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264</v>
          </cell>
        </row>
        <row r="46">
          <cell r="A46">
            <v>43</v>
          </cell>
          <cell r="B46" t="str">
            <v>Ale Fonseca D</v>
          </cell>
          <cell r="C46">
            <v>35</v>
          </cell>
          <cell r="D46">
            <v>25</v>
          </cell>
          <cell r="E46">
            <v>18</v>
          </cell>
          <cell r="F46">
            <v>0</v>
          </cell>
          <cell r="G46">
            <v>18</v>
          </cell>
          <cell r="H46">
            <v>12</v>
          </cell>
          <cell r="I46">
            <v>25</v>
          </cell>
          <cell r="J46">
            <v>18</v>
          </cell>
          <cell r="K46">
            <v>151</v>
          </cell>
          <cell r="L46">
            <v>30</v>
          </cell>
          <cell r="M46">
            <v>60</v>
          </cell>
          <cell r="N46">
            <v>0</v>
          </cell>
          <cell r="O46">
            <v>0</v>
          </cell>
          <cell r="P46">
            <v>90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241</v>
          </cell>
        </row>
        <row r="47">
          <cell r="A47">
            <v>44</v>
          </cell>
          <cell r="B47" t="str">
            <v>Luis Eduardo Fonseca</v>
          </cell>
          <cell r="C47">
            <v>18</v>
          </cell>
          <cell r="D47">
            <v>35</v>
          </cell>
          <cell r="E47">
            <v>35</v>
          </cell>
          <cell r="F47">
            <v>0</v>
          </cell>
          <cell r="G47">
            <v>18</v>
          </cell>
          <cell r="H47">
            <v>12</v>
          </cell>
          <cell r="I47">
            <v>35</v>
          </cell>
          <cell r="J47">
            <v>18</v>
          </cell>
          <cell r="K47">
            <v>171</v>
          </cell>
          <cell r="L47">
            <v>60</v>
          </cell>
          <cell r="M47">
            <v>50</v>
          </cell>
          <cell r="N47">
            <v>0</v>
          </cell>
          <cell r="O47">
            <v>0</v>
          </cell>
          <cell r="P47">
            <v>110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281</v>
          </cell>
        </row>
        <row r="48">
          <cell r="A48">
            <v>45</v>
          </cell>
          <cell r="B48" t="str">
            <v>Hernando Garcia</v>
          </cell>
          <cell r="C48">
            <v>12</v>
          </cell>
          <cell r="D48">
            <v>25</v>
          </cell>
          <cell r="E48">
            <v>35</v>
          </cell>
          <cell r="F48">
            <v>35</v>
          </cell>
          <cell r="G48">
            <v>35</v>
          </cell>
          <cell r="H48">
            <v>0</v>
          </cell>
          <cell r="I48">
            <v>35</v>
          </cell>
          <cell r="J48">
            <v>18</v>
          </cell>
          <cell r="K48">
            <v>195</v>
          </cell>
          <cell r="L48">
            <v>0</v>
          </cell>
          <cell r="M48">
            <v>50</v>
          </cell>
          <cell r="N48">
            <v>0</v>
          </cell>
          <cell r="O48">
            <v>0</v>
          </cell>
          <cell r="P48">
            <v>50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245</v>
          </cell>
        </row>
        <row r="49">
          <cell r="A49">
            <v>46</v>
          </cell>
          <cell r="B49" t="str">
            <v>Alvaro Holguin</v>
          </cell>
          <cell r="C49">
            <v>18</v>
          </cell>
          <cell r="D49">
            <v>25</v>
          </cell>
          <cell r="E49">
            <v>18</v>
          </cell>
          <cell r="F49">
            <v>0</v>
          </cell>
          <cell r="G49">
            <v>18</v>
          </cell>
          <cell r="H49">
            <v>12</v>
          </cell>
          <cell r="I49">
            <v>25</v>
          </cell>
          <cell r="J49">
            <v>18</v>
          </cell>
          <cell r="K49">
            <v>134</v>
          </cell>
          <cell r="L49">
            <v>30</v>
          </cell>
          <cell r="M49">
            <v>60</v>
          </cell>
          <cell r="N49">
            <v>0</v>
          </cell>
          <cell r="O49">
            <v>0</v>
          </cell>
          <cell r="P49">
            <v>90</v>
          </cell>
          <cell r="Q49">
            <v>40</v>
          </cell>
          <cell r="R49">
            <v>0</v>
          </cell>
          <cell r="S49">
            <v>40</v>
          </cell>
          <cell r="T49">
            <v>0</v>
          </cell>
          <cell r="U49">
            <v>55</v>
          </cell>
          <cell r="V49">
            <v>55</v>
          </cell>
          <cell r="W49">
            <v>25</v>
          </cell>
          <cell r="X49">
            <v>344</v>
          </cell>
        </row>
        <row r="50">
          <cell r="A50">
            <v>47</v>
          </cell>
          <cell r="B50" t="str">
            <v>Ernesto C Lemaitre F</v>
          </cell>
          <cell r="C50">
            <v>35</v>
          </cell>
          <cell r="D50">
            <v>35</v>
          </cell>
          <cell r="E50">
            <v>35</v>
          </cell>
          <cell r="F50">
            <v>25</v>
          </cell>
          <cell r="G50">
            <v>35</v>
          </cell>
          <cell r="H50">
            <v>12</v>
          </cell>
          <cell r="I50">
            <v>35</v>
          </cell>
          <cell r="J50">
            <v>0</v>
          </cell>
          <cell r="K50">
            <v>212</v>
          </cell>
          <cell r="L50">
            <v>30</v>
          </cell>
          <cell r="M50">
            <v>50</v>
          </cell>
          <cell r="N50">
            <v>20</v>
          </cell>
          <cell r="O50">
            <v>0</v>
          </cell>
          <cell r="P50">
            <v>100</v>
          </cell>
          <cell r="Q50">
            <v>40</v>
          </cell>
          <cell r="R50">
            <v>0</v>
          </cell>
          <cell r="S50">
            <v>40</v>
          </cell>
          <cell r="T50">
            <v>0</v>
          </cell>
          <cell r="U50">
            <v>0</v>
          </cell>
          <cell r="V50">
            <v>0</v>
          </cell>
          <cell r="W50">
            <v>25</v>
          </cell>
          <cell r="X50">
            <v>377</v>
          </cell>
        </row>
        <row r="51">
          <cell r="A51">
            <v>48</v>
          </cell>
          <cell r="B51" t="str">
            <v>Alejandro-Camilo Borrero</v>
          </cell>
          <cell r="C51">
            <v>35</v>
          </cell>
          <cell r="D51">
            <v>35</v>
          </cell>
          <cell r="E51">
            <v>18</v>
          </cell>
          <cell r="F51">
            <v>25</v>
          </cell>
          <cell r="G51">
            <v>35</v>
          </cell>
          <cell r="H51">
            <v>12</v>
          </cell>
          <cell r="I51">
            <v>25</v>
          </cell>
          <cell r="J51">
            <v>35</v>
          </cell>
          <cell r="K51">
            <v>220</v>
          </cell>
          <cell r="L51">
            <v>30</v>
          </cell>
          <cell r="M51">
            <v>60</v>
          </cell>
          <cell r="N51">
            <v>0</v>
          </cell>
          <cell r="O51">
            <v>0</v>
          </cell>
          <cell r="P51">
            <v>90</v>
          </cell>
          <cell r="Q51">
            <v>40</v>
          </cell>
          <cell r="R51">
            <v>0</v>
          </cell>
          <cell r="S51">
            <v>40</v>
          </cell>
          <cell r="T51">
            <v>0</v>
          </cell>
          <cell r="U51">
            <v>0</v>
          </cell>
          <cell r="V51">
            <v>0</v>
          </cell>
          <cell r="W51">
            <v>25</v>
          </cell>
          <cell r="X51">
            <v>375</v>
          </cell>
        </row>
        <row r="52">
          <cell r="A52">
            <v>49</v>
          </cell>
          <cell r="B52" t="str">
            <v>Toqui - Estefania - Daniel</v>
          </cell>
          <cell r="C52">
            <v>25</v>
          </cell>
          <cell r="D52">
            <v>25</v>
          </cell>
          <cell r="E52">
            <v>18</v>
          </cell>
          <cell r="F52">
            <v>0</v>
          </cell>
          <cell r="G52">
            <v>35</v>
          </cell>
          <cell r="H52">
            <v>12</v>
          </cell>
          <cell r="I52">
            <v>25</v>
          </cell>
          <cell r="J52">
            <v>35</v>
          </cell>
          <cell r="K52">
            <v>175</v>
          </cell>
          <cell r="L52">
            <v>30</v>
          </cell>
          <cell r="M52">
            <v>30</v>
          </cell>
          <cell r="N52">
            <v>0</v>
          </cell>
          <cell r="O52">
            <v>20</v>
          </cell>
          <cell r="P52">
            <v>80</v>
          </cell>
          <cell r="Q52">
            <v>40</v>
          </cell>
          <cell r="R52">
            <v>0</v>
          </cell>
          <cell r="S52">
            <v>40</v>
          </cell>
          <cell r="T52">
            <v>0</v>
          </cell>
          <cell r="U52">
            <v>55</v>
          </cell>
          <cell r="V52">
            <v>55</v>
          </cell>
          <cell r="W52">
            <v>25</v>
          </cell>
          <cell r="X52">
            <v>375</v>
          </cell>
        </row>
        <row r="53">
          <cell r="A53">
            <v>50</v>
          </cell>
          <cell r="B53" t="str">
            <v>Toqui Lemaitre</v>
          </cell>
          <cell r="C53">
            <v>18</v>
          </cell>
          <cell r="D53">
            <v>35</v>
          </cell>
          <cell r="E53">
            <v>35</v>
          </cell>
          <cell r="F53">
            <v>35</v>
          </cell>
          <cell r="G53">
            <v>18</v>
          </cell>
          <cell r="H53">
            <v>0</v>
          </cell>
          <cell r="I53">
            <v>25</v>
          </cell>
          <cell r="J53">
            <v>18</v>
          </cell>
          <cell r="K53">
            <v>184</v>
          </cell>
          <cell r="L53">
            <v>60</v>
          </cell>
          <cell r="M53">
            <v>30</v>
          </cell>
          <cell r="N53">
            <v>0</v>
          </cell>
          <cell r="O53">
            <v>30</v>
          </cell>
          <cell r="P53">
            <v>120</v>
          </cell>
          <cell r="Q53">
            <v>40</v>
          </cell>
          <cell r="R53">
            <v>0</v>
          </cell>
          <cell r="S53">
            <v>40</v>
          </cell>
          <cell r="T53">
            <v>0</v>
          </cell>
          <cell r="U53">
            <v>0</v>
          </cell>
          <cell r="V53">
            <v>0</v>
          </cell>
          <cell r="W53">
            <v>25</v>
          </cell>
          <cell r="X53">
            <v>369</v>
          </cell>
        </row>
        <row r="54">
          <cell r="A54">
            <v>51</v>
          </cell>
          <cell r="B54" t="str">
            <v>Christian Hassig</v>
          </cell>
          <cell r="C54">
            <v>35</v>
          </cell>
          <cell r="D54">
            <v>35</v>
          </cell>
          <cell r="E54">
            <v>35</v>
          </cell>
          <cell r="F54">
            <v>25</v>
          </cell>
          <cell r="G54">
            <v>18</v>
          </cell>
          <cell r="H54">
            <v>12</v>
          </cell>
          <cell r="I54">
            <v>25</v>
          </cell>
          <cell r="J54">
            <v>0</v>
          </cell>
          <cell r="K54">
            <v>185</v>
          </cell>
          <cell r="L54">
            <v>30</v>
          </cell>
          <cell r="M54">
            <v>30</v>
          </cell>
          <cell r="N54">
            <v>30</v>
          </cell>
          <cell r="O54">
            <v>0</v>
          </cell>
          <cell r="P54">
            <v>90</v>
          </cell>
          <cell r="Q54">
            <v>40</v>
          </cell>
          <cell r="R54">
            <v>0</v>
          </cell>
          <cell r="S54">
            <v>40</v>
          </cell>
          <cell r="T54">
            <v>0</v>
          </cell>
          <cell r="U54">
            <v>0</v>
          </cell>
          <cell r="V54">
            <v>0</v>
          </cell>
          <cell r="W54">
            <v>25</v>
          </cell>
          <cell r="X54">
            <v>340</v>
          </cell>
        </row>
        <row r="55">
          <cell r="A55" t="str">
            <v>.</v>
          </cell>
          <cell r="B55" t="str">
            <v>.</v>
          </cell>
          <cell r="C55" t="str">
            <v>.</v>
          </cell>
          <cell r="D55" t="str">
            <v>.</v>
          </cell>
          <cell r="E55" t="str">
            <v>.</v>
          </cell>
          <cell r="F55" t="str">
            <v>.</v>
          </cell>
          <cell r="G55" t="str">
            <v>.</v>
          </cell>
          <cell r="H55" t="str">
            <v>.</v>
          </cell>
          <cell r="I55" t="str">
            <v>.</v>
          </cell>
          <cell r="J55" t="str">
            <v>.</v>
          </cell>
          <cell r="K55" t="str">
            <v>.</v>
          </cell>
          <cell r="L55" t="str">
            <v>.</v>
          </cell>
          <cell r="M55" t="str">
            <v>.</v>
          </cell>
          <cell r="N55" t="str">
            <v>.</v>
          </cell>
          <cell r="O55" t="str">
            <v>.</v>
          </cell>
          <cell r="P55" t="str">
            <v>.</v>
          </cell>
          <cell r="Q55" t="str">
            <v>.</v>
          </cell>
          <cell r="R55" t="str">
            <v>.</v>
          </cell>
          <cell r="S55" t="str">
            <v>.</v>
          </cell>
          <cell r="T55" t="str">
            <v>.</v>
          </cell>
          <cell r="U55" t="str">
            <v>.</v>
          </cell>
          <cell r="V55" t="str">
            <v>.</v>
          </cell>
          <cell r="W55" t="str">
            <v>.</v>
          </cell>
          <cell r="X55" t="str">
            <v>.</v>
          </cell>
        </row>
        <row r="57">
          <cell r="J57" t="str">
            <v xml:space="preserve">"=SI(CONCATENAR(Equipos!$AI53,Equipos!$AJ53,Equipos!$AK53,Equipos!$AL53)=CONCATENAR(Equipos!$AI$2,Equipos!$AJ$2,Equipos!$AK$2,Equipos!$AL$2),Puntajes!$D102,SI(CONCATENAR(Equipos!$AL53,Equipos!$AK53,Equipos!$AJ53,Equipos!$AI53)=CONCATENAR(Equipos!$AI$2,Equipos!$AJ$2,Equipos!$AK$2,Equipos!$AL$2),Puntajes!$D103,SI(Equipos!$AI53=Equipos!$AI$2,Puntajes!$D104,SI(O(Equipos!$AI53=Equipos!$AJ$2,Equipos!$AI53=Equipos!$AK$2,Equipos!$AI53=Equipos!$AL$2),Puntajes!$D108,0))+SI(Equipos!$AJ53=Equipos!$AJ$2,Puntajes!$D105,SI(O(Equipos!$AJ53=Equipos!$AI$2,Equipos!$AJ53=Equipos!$AK$2,Equipos!$AJ53=Equipos!$AL$2),Puntajes!$D108,0))+SI(Equipos!$AK53=Equipos!$AK$2,Puntajes!$D106,SI(O(Equipos!$AK53=Equipos!$AI$2,Equipos!$AK53=Equipos!$AJ$2,Equipos!$AK53=Equipos!$AL$2),Puntajes!$D108,0))+SI(Equipos!$AL53=Equipos!$AL$2,Puntajes!$D107,SI(O(Equipos!$AL53=Equipos!$AI$2,Equipos!$AL53=Equipos!$AJ$2,Equipos!$AL53=Equipos!$AK$2),Puntajes!$D108,0))))
</v>
          </cell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</row>
        <row r="58"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</row>
        <row r="59"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</row>
        <row r="60"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</row>
        <row r="61"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</row>
        <row r="62"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</row>
        <row r="63"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</row>
        <row r="64"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</row>
        <row r="65"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</row>
        <row r="66"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</row>
        <row r="67"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</row>
      </sheetData>
      <sheetData sheetId="13">
        <row r="1">
          <cell r="A1" t="str">
            <v>Form.No.</v>
          </cell>
          <cell r="B1" t="str">
            <v>Extras</v>
          </cell>
          <cell r="C1" t="str">
            <v>Número Total de Goles</v>
          </cell>
          <cell r="D1" t="str">
            <v>Jugador Goleador</v>
          </cell>
          <cell r="E1" t="str">
            <v xml:space="preserve">Número de Goles </v>
          </cell>
          <cell r="F1" t="str">
            <v>Equipo  Primer Gol</v>
          </cell>
          <cell r="G1" t="str">
            <v>Equipo  Ultimo Gol</v>
          </cell>
          <cell r="H1" t="str">
            <v>Equipo Gol No. 50</v>
          </cell>
          <cell r="I1" t="str">
            <v>Equipo  Gol No. 100</v>
          </cell>
          <cell r="J1" t="str">
            <v>Equipo Ultimo Lugar</v>
          </cell>
          <cell r="K1" t="str">
            <v>Equipo + Goles a favor</v>
          </cell>
          <cell r="L1" t="str">
            <v>Equipo + Goles en contra</v>
          </cell>
          <cell r="M1" t="str">
            <v>Equipo - Goles a favor</v>
          </cell>
          <cell r="N1" t="str">
            <v>Equipo - goles en contra</v>
          </cell>
          <cell r="O1" t="str">
            <v>Continente Campeón</v>
          </cell>
          <cell r="P1" t="str">
            <v>Continente Sub-campeón</v>
          </cell>
          <cell r="Q1" t="str">
            <v>Total Extras Grales</v>
          </cell>
          <cell r="R1" t="str">
            <v>Anotador 1er Gol</v>
          </cell>
          <cell r="S1" t="str">
            <v>Anotador Ultimo Gol</v>
          </cell>
          <cell r="T1" t="str">
            <v>Total goles Favor</v>
          </cell>
          <cell r="U1" t="str">
            <v>Total goles Contra</v>
          </cell>
          <cell r="V1" t="str">
            <v>Posición Tabla</v>
          </cell>
          <cell r="W1" t="str">
            <v>Extras Colombia</v>
          </cell>
        </row>
        <row r="2">
          <cell r="A2">
            <v>0</v>
          </cell>
          <cell r="B2" t="str">
            <v>Resultado</v>
          </cell>
          <cell r="C2">
            <v>169</v>
          </cell>
          <cell r="D2" t="str">
            <v>KANE</v>
          </cell>
          <cell r="E2">
            <v>6</v>
          </cell>
          <cell r="F2" t="str">
            <v>RUS</v>
          </cell>
          <cell r="G2" t="str">
            <v>CRO</v>
          </cell>
          <cell r="H2" t="str">
            <v>CRO</v>
          </cell>
          <cell r="I2" t="str">
            <v>ARG</v>
          </cell>
          <cell r="J2" t="str">
            <v>PAN</v>
          </cell>
          <cell r="K2" t="str">
            <v>BEL</v>
          </cell>
          <cell r="L2" t="str">
            <v>PAN</v>
          </cell>
          <cell r="M2" t="str">
            <v>ARA EGI IRA MAR PER AUS ISL SER COS ALE PAN POL</v>
          </cell>
          <cell r="N2" t="str">
            <v>PER IRA DIN</v>
          </cell>
          <cell r="O2" t="str">
            <v>EUR</v>
          </cell>
          <cell r="P2" t="str">
            <v>EUR</v>
          </cell>
          <cell r="Q2"/>
          <cell r="R2" t="str">
            <v>QUINTERO</v>
          </cell>
          <cell r="S2" t="str">
            <v>MINA</v>
          </cell>
          <cell r="T2">
            <v>6</v>
          </cell>
          <cell r="U2">
            <v>3</v>
          </cell>
          <cell r="V2">
            <v>9</v>
          </cell>
          <cell r="W2"/>
        </row>
        <row r="3">
          <cell r="A3"/>
          <cell r="B3" t="str">
            <v>Puntos Otorgados</v>
          </cell>
          <cell r="C3">
            <v>100</v>
          </cell>
          <cell r="D3">
            <v>50</v>
          </cell>
          <cell r="E3">
            <v>50</v>
          </cell>
          <cell r="F3">
            <v>20</v>
          </cell>
          <cell r="G3">
            <v>20</v>
          </cell>
          <cell r="H3">
            <v>40</v>
          </cell>
          <cell r="I3">
            <v>40</v>
          </cell>
          <cell r="J3">
            <v>30</v>
          </cell>
          <cell r="K3">
            <v>30</v>
          </cell>
          <cell r="L3">
            <v>30</v>
          </cell>
          <cell r="M3">
            <v>30</v>
          </cell>
          <cell r="N3">
            <v>30</v>
          </cell>
          <cell r="O3">
            <v>20</v>
          </cell>
          <cell r="P3">
            <v>20</v>
          </cell>
          <cell r="Q3">
            <v>510</v>
          </cell>
          <cell r="R3">
            <v>30</v>
          </cell>
          <cell r="S3">
            <v>30</v>
          </cell>
          <cell r="T3">
            <v>40</v>
          </cell>
          <cell r="U3">
            <v>40</v>
          </cell>
          <cell r="V3">
            <v>60</v>
          </cell>
          <cell r="W3">
            <v>200</v>
          </cell>
        </row>
        <row r="4">
          <cell r="A4">
            <v>1</v>
          </cell>
          <cell r="B4" t="str">
            <v>María Eugenia de Lemaitre</v>
          </cell>
          <cell r="C4">
            <v>162</v>
          </cell>
          <cell r="D4" t="str">
            <v>MESSI</v>
          </cell>
          <cell r="E4">
            <v>7</v>
          </cell>
          <cell r="F4" t="str">
            <v>RUS</v>
          </cell>
          <cell r="G4" t="str">
            <v>ALE</v>
          </cell>
          <cell r="H4" t="str">
            <v>ARG</v>
          </cell>
          <cell r="I4" t="str">
            <v>MEX</v>
          </cell>
          <cell r="J4" t="str">
            <v>ISL</v>
          </cell>
          <cell r="K4" t="str">
            <v>ALE</v>
          </cell>
          <cell r="L4" t="str">
            <v>COR</v>
          </cell>
          <cell r="M4" t="str">
            <v>PAN</v>
          </cell>
          <cell r="N4" t="str">
            <v>RUS</v>
          </cell>
          <cell r="O4" t="str">
            <v>EUR</v>
          </cell>
          <cell r="P4" t="str">
            <v>EUR</v>
          </cell>
          <cell r="Q4">
            <v>90</v>
          </cell>
          <cell r="R4" t="str">
            <v>FALCAO</v>
          </cell>
          <cell r="S4" t="str">
            <v>BACCA</v>
          </cell>
          <cell r="T4">
            <v>6</v>
          </cell>
          <cell r="U4">
            <v>4</v>
          </cell>
          <cell r="V4">
            <v>13</v>
          </cell>
          <cell r="W4">
            <v>40</v>
          </cell>
        </row>
        <row r="5">
          <cell r="A5">
            <v>2</v>
          </cell>
          <cell r="B5" t="str">
            <v>Andres &amp; JuanB Harker</v>
          </cell>
          <cell r="C5">
            <v>199</v>
          </cell>
          <cell r="D5" t="str">
            <v>NEYMAR</v>
          </cell>
          <cell r="E5">
            <v>6</v>
          </cell>
          <cell r="F5" t="str">
            <v>RUS</v>
          </cell>
          <cell r="G5" t="str">
            <v>ESP</v>
          </cell>
          <cell r="H5" t="str">
            <v>COL</v>
          </cell>
          <cell r="I5" t="str">
            <v>URU</v>
          </cell>
          <cell r="J5" t="str">
            <v>TUN</v>
          </cell>
          <cell r="K5" t="str">
            <v>ESP</v>
          </cell>
          <cell r="L5" t="str">
            <v>TUN</v>
          </cell>
          <cell r="M5" t="str">
            <v>TUN</v>
          </cell>
          <cell r="N5" t="str">
            <v>BRA</v>
          </cell>
          <cell r="O5" t="str">
            <v>EUR</v>
          </cell>
          <cell r="P5" t="str">
            <v>AME</v>
          </cell>
          <cell r="Q5">
            <v>90</v>
          </cell>
          <cell r="R5" t="str">
            <v>FALCAO</v>
          </cell>
          <cell r="S5" t="str">
            <v>BORJA</v>
          </cell>
          <cell r="T5">
            <v>11</v>
          </cell>
          <cell r="U5">
            <v>7</v>
          </cell>
          <cell r="V5">
            <v>7</v>
          </cell>
          <cell r="W5">
            <v>0</v>
          </cell>
        </row>
        <row r="6">
          <cell r="A6">
            <v>3</v>
          </cell>
          <cell r="B6" t="str">
            <v>Alexandra &amp; Camilo</v>
          </cell>
          <cell r="C6">
            <v>168</v>
          </cell>
          <cell r="D6" t="str">
            <v>MESSI</v>
          </cell>
          <cell r="E6">
            <v>10</v>
          </cell>
          <cell r="F6" t="str">
            <v>RUS</v>
          </cell>
          <cell r="G6" t="str">
            <v>ARG</v>
          </cell>
          <cell r="H6" t="str">
            <v>DIN</v>
          </cell>
          <cell r="I6" t="str">
            <v>ARG</v>
          </cell>
          <cell r="J6" t="str">
            <v>ARA</v>
          </cell>
          <cell r="K6" t="str">
            <v>BRA</v>
          </cell>
          <cell r="L6" t="str">
            <v>ARA</v>
          </cell>
          <cell r="M6" t="str">
            <v>ARA</v>
          </cell>
          <cell r="N6" t="str">
            <v>ALE</v>
          </cell>
          <cell r="O6" t="str">
            <v>AME</v>
          </cell>
          <cell r="P6" t="str">
            <v>AME</v>
          </cell>
          <cell r="Q6">
            <v>90</v>
          </cell>
          <cell r="R6" t="str">
            <v>CUADRADO</v>
          </cell>
          <cell r="S6" t="str">
            <v>FALCAO</v>
          </cell>
          <cell r="T6">
            <v>8</v>
          </cell>
          <cell r="U6">
            <v>6</v>
          </cell>
          <cell r="V6">
            <v>6</v>
          </cell>
          <cell r="W6">
            <v>0</v>
          </cell>
        </row>
        <row r="7">
          <cell r="A7">
            <v>4</v>
          </cell>
          <cell r="B7" t="str">
            <v>Pierre &amp; Magdalena</v>
          </cell>
          <cell r="C7">
            <v>168</v>
          </cell>
          <cell r="D7" t="str">
            <v>NEYMAR</v>
          </cell>
          <cell r="E7">
            <v>7</v>
          </cell>
          <cell r="F7" t="str">
            <v>RUS</v>
          </cell>
          <cell r="G7" t="str">
            <v>BRA</v>
          </cell>
          <cell r="H7" t="str">
            <v>URU</v>
          </cell>
          <cell r="I7" t="str">
            <v>FRA</v>
          </cell>
          <cell r="J7" t="str">
            <v>MAR</v>
          </cell>
          <cell r="K7" t="str">
            <v>BRA</v>
          </cell>
          <cell r="L7" t="str">
            <v>MAR</v>
          </cell>
          <cell r="M7" t="str">
            <v>ISL</v>
          </cell>
          <cell r="N7" t="str">
            <v>ALE</v>
          </cell>
          <cell r="O7" t="str">
            <v>AME</v>
          </cell>
          <cell r="P7" t="str">
            <v>EUR</v>
          </cell>
          <cell r="Q7">
            <v>70</v>
          </cell>
          <cell r="R7" t="str">
            <v>JAMES</v>
          </cell>
          <cell r="S7" t="str">
            <v>FALCAO</v>
          </cell>
          <cell r="T7">
            <v>9</v>
          </cell>
          <cell r="U7">
            <v>4</v>
          </cell>
          <cell r="V7">
            <v>6</v>
          </cell>
          <cell r="W7">
            <v>0</v>
          </cell>
        </row>
        <row r="8">
          <cell r="A8">
            <v>5</v>
          </cell>
          <cell r="B8" t="str">
            <v>Fernando Yañez</v>
          </cell>
          <cell r="C8">
            <v>170</v>
          </cell>
          <cell r="D8" t="str">
            <v>NEYMAR</v>
          </cell>
          <cell r="E8">
            <v>7</v>
          </cell>
          <cell r="F8" t="str">
            <v>RUS</v>
          </cell>
          <cell r="G8" t="str">
            <v>ALE</v>
          </cell>
          <cell r="H8" t="str">
            <v>FRA</v>
          </cell>
          <cell r="I8" t="str">
            <v>ALE</v>
          </cell>
          <cell r="J8" t="str">
            <v>COR</v>
          </cell>
          <cell r="K8" t="str">
            <v>BRA</v>
          </cell>
          <cell r="L8" t="str">
            <v>TUN</v>
          </cell>
          <cell r="M8" t="str">
            <v>SEN</v>
          </cell>
          <cell r="N8" t="str">
            <v>ALE</v>
          </cell>
          <cell r="O8" t="str">
            <v>AME</v>
          </cell>
          <cell r="P8" t="str">
            <v>EUR</v>
          </cell>
          <cell r="Q8">
            <v>40</v>
          </cell>
          <cell r="R8" t="str">
            <v>JAMES</v>
          </cell>
          <cell r="S8" t="str">
            <v>FALCAO</v>
          </cell>
          <cell r="T8">
            <v>10</v>
          </cell>
          <cell r="U8">
            <v>6</v>
          </cell>
          <cell r="V8">
            <v>5</v>
          </cell>
          <cell r="W8">
            <v>0</v>
          </cell>
        </row>
        <row r="9">
          <cell r="A9">
            <v>6</v>
          </cell>
          <cell r="B9" t="str">
            <v>Gonzalo Fonseca</v>
          </cell>
          <cell r="C9">
            <v>187</v>
          </cell>
          <cell r="D9" t="str">
            <v>GABRIEL DE JESUS</v>
          </cell>
          <cell r="E9">
            <v>6</v>
          </cell>
          <cell r="F9" t="str">
            <v>RUS</v>
          </cell>
          <cell r="G9" t="str">
            <v>BRA</v>
          </cell>
          <cell r="H9" t="str">
            <v>ESP</v>
          </cell>
          <cell r="I9" t="str">
            <v>CRO</v>
          </cell>
          <cell r="J9" t="str">
            <v>IRA</v>
          </cell>
          <cell r="K9" t="str">
            <v>BRA</v>
          </cell>
          <cell r="L9" t="str">
            <v>IRA</v>
          </cell>
          <cell r="M9" t="str">
            <v>IRA</v>
          </cell>
          <cell r="N9" t="str">
            <v>BRA</v>
          </cell>
          <cell r="O9" t="str">
            <v>AME</v>
          </cell>
          <cell r="P9" t="str">
            <v>EUR</v>
          </cell>
          <cell r="Q9">
            <v>120</v>
          </cell>
          <cell r="R9" t="str">
            <v>JAMES</v>
          </cell>
          <cell r="S9" t="str">
            <v>FALCAO</v>
          </cell>
          <cell r="T9">
            <v>9</v>
          </cell>
          <cell r="U9">
            <v>6</v>
          </cell>
          <cell r="V9">
            <v>6</v>
          </cell>
          <cell r="W9">
            <v>0</v>
          </cell>
        </row>
        <row r="10">
          <cell r="A10">
            <v>7</v>
          </cell>
          <cell r="B10" t="str">
            <v>Juan Kiko Harker</v>
          </cell>
          <cell r="C10">
            <v>184</v>
          </cell>
          <cell r="D10" t="str">
            <v>MULLER</v>
          </cell>
          <cell r="E10">
            <v>6</v>
          </cell>
          <cell r="F10" t="str">
            <v>RUS</v>
          </cell>
          <cell r="G10" t="str">
            <v>BRA</v>
          </cell>
          <cell r="H10" t="str">
            <v>URU</v>
          </cell>
          <cell r="I10" t="str">
            <v>ESP</v>
          </cell>
          <cell r="J10" t="str">
            <v>ARA</v>
          </cell>
          <cell r="K10" t="str">
            <v>BRA</v>
          </cell>
          <cell r="L10" t="str">
            <v>ARA</v>
          </cell>
          <cell r="M10" t="str">
            <v>MAR</v>
          </cell>
          <cell r="N10" t="str">
            <v>SUI</v>
          </cell>
          <cell r="O10" t="str">
            <v>AME</v>
          </cell>
          <cell r="P10" t="str">
            <v>EUR</v>
          </cell>
          <cell r="Q10">
            <v>120</v>
          </cell>
          <cell r="R10" t="str">
            <v>FALCAO</v>
          </cell>
          <cell r="S10" t="str">
            <v>JAMES</v>
          </cell>
          <cell r="T10">
            <v>4</v>
          </cell>
          <cell r="U10">
            <v>4</v>
          </cell>
          <cell r="V10">
            <v>14</v>
          </cell>
          <cell r="W10">
            <v>0</v>
          </cell>
        </row>
        <row r="11">
          <cell r="A11">
            <v>8</v>
          </cell>
          <cell r="B11" t="str">
            <v>Dionisio Araujo V</v>
          </cell>
          <cell r="C11">
            <v>156</v>
          </cell>
          <cell r="D11" t="str">
            <v>NEYMAR</v>
          </cell>
          <cell r="E11">
            <v>7</v>
          </cell>
          <cell r="F11" t="str">
            <v>RUS</v>
          </cell>
          <cell r="G11" t="str">
            <v>ALE</v>
          </cell>
          <cell r="H11" t="str">
            <v>FRA</v>
          </cell>
          <cell r="I11" t="str">
            <v>ING</v>
          </cell>
          <cell r="J11" t="str">
            <v>PAN</v>
          </cell>
          <cell r="K11" t="str">
            <v>ALE</v>
          </cell>
          <cell r="L11" t="str">
            <v>PAN</v>
          </cell>
          <cell r="M11" t="str">
            <v>ARA</v>
          </cell>
          <cell r="N11" t="str">
            <v>ING</v>
          </cell>
          <cell r="O11" t="str">
            <v>EUR</v>
          </cell>
          <cell r="P11" t="str">
            <v>AME</v>
          </cell>
          <cell r="Q11">
            <v>130</v>
          </cell>
          <cell r="R11" t="str">
            <v>FALCAO</v>
          </cell>
          <cell r="S11" t="str">
            <v>CUADRADO</v>
          </cell>
          <cell r="T11">
            <v>8</v>
          </cell>
          <cell r="U11">
            <v>5</v>
          </cell>
          <cell r="V11">
            <v>7</v>
          </cell>
          <cell r="W11">
            <v>0</v>
          </cell>
        </row>
        <row r="12">
          <cell r="A12">
            <v>9</v>
          </cell>
          <cell r="B12" t="str">
            <v>Felipe Araujo A</v>
          </cell>
          <cell r="C12">
            <v>145</v>
          </cell>
          <cell r="D12" t="str">
            <v>MULLER</v>
          </cell>
          <cell r="E12">
            <v>6</v>
          </cell>
          <cell r="F12" t="str">
            <v>RUS</v>
          </cell>
          <cell r="G12" t="str">
            <v>ALE</v>
          </cell>
          <cell r="H12" t="str">
            <v>COL</v>
          </cell>
          <cell r="I12" t="str">
            <v>ING</v>
          </cell>
          <cell r="J12" t="str">
            <v>PAN</v>
          </cell>
          <cell r="K12" t="str">
            <v>ALE</v>
          </cell>
          <cell r="L12" t="str">
            <v>FRA</v>
          </cell>
          <cell r="M12" t="str">
            <v>PAN</v>
          </cell>
          <cell r="N12" t="str">
            <v>COL</v>
          </cell>
          <cell r="O12" t="str">
            <v>EUR</v>
          </cell>
          <cell r="P12" t="str">
            <v>EUR</v>
          </cell>
          <cell r="Q12">
            <v>170</v>
          </cell>
          <cell r="R12" t="str">
            <v>FALCAO</v>
          </cell>
          <cell r="S12" t="str">
            <v>JAMES</v>
          </cell>
          <cell r="T12">
            <v>8</v>
          </cell>
          <cell r="U12">
            <v>5</v>
          </cell>
          <cell r="V12">
            <v>7</v>
          </cell>
          <cell r="W12">
            <v>0</v>
          </cell>
        </row>
        <row r="13">
          <cell r="A13">
            <v>10</v>
          </cell>
          <cell r="B13" t="str">
            <v>Andres Borrero</v>
          </cell>
          <cell r="C13">
            <v>159</v>
          </cell>
          <cell r="D13" t="str">
            <v>MESSI</v>
          </cell>
          <cell r="E13">
            <v>7</v>
          </cell>
          <cell r="F13" t="str">
            <v>RUS</v>
          </cell>
          <cell r="G13" t="str">
            <v>ALE</v>
          </cell>
          <cell r="H13" t="str">
            <v>CRO</v>
          </cell>
          <cell r="I13" t="str">
            <v>SEN</v>
          </cell>
          <cell r="J13" t="str">
            <v>ARA</v>
          </cell>
          <cell r="K13" t="str">
            <v>BRA</v>
          </cell>
          <cell r="L13" t="str">
            <v>PAN</v>
          </cell>
          <cell r="M13" t="str">
            <v>PAN</v>
          </cell>
          <cell r="N13" t="str">
            <v>FRA</v>
          </cell>
          <cell r="O13" t="str">
            <v>AME</v>
          </cell>
          <cell r="P13" t="str">
            <v>EUR</v>
          </cell>
          <cell r="Q13">
            <v>140</v>
          </cell>
          <cell r="R13" t="str">
            <v>FALCAO</v>
          </cell>
          <cell r="S13" t="str">
            <v>JAMES</v>
          </cell>
          <cell r="T13">
            <v>8</v>
          </cell>
          <cell r="U13">
            <v>6</v>
          </cell>
          <cell r="V13">
            <v>5</v>
          </cell>
          <cell r="W13">
            <v>0</v>
          </cell>
        </row>
        <row r="14">
          <cell r="A14">
            <v>11</v>
          </cell>
          <cell r="B14" t="str">
            <v>Andres Lemaitre</v>
          </cell>
          <cell r="C14">
            <v>149</v>
          </cell>
          <cell r="D14" t="str">
            <v>MESSI</v>
          </cell>
          <cell r="E14">
            <v>7</v>
          </cell>
          <cell r="F14" t="str">
            <v>URU</v>
          </cell>
          <cell r="G14" t="str">
            <v>BRA</v>
          </cell>
          <cell r="H14" t="str">
            <v>ESP</v>
          </cell>
          <cell r="I14" t="str">
            <v>ALE</v>
          </cell>
          <cell r="J14" t="str">
            <v>IRA</v>
          </cell>
          <cell r="K14" t="str">
            <v>BRA</v>
          </cell>
          <cell r="L14" t="str">
            <v>IRA</v>
          </cell>
          <cell r="M14" t="str">
            <v>PAN</v>
          </cell>
          <cell r="N14" t="str">
            <v>URU</v>
          </cell>
          <cell r="O14" t="str">
            <v>AME</v>
          </cell>
          <cell r="P14" t="str">
            <v>EUR</v>
          </cell>
          <cell r="Q14">
            <v>50</v>
          </cell>
          <cell r="R14" t="str">
            <v>FALCAO</v>
          </cell>
          <cell r="S14" t="str">
            <v>JAMES</v>
          </cell>
          <cell r="T14">
            <v>5</v>
          </cell>
          <cell r="U14">
            <v>4</v>
          </cell>
          <cell r="V14">
            <v>8</v>
          </cell>
          <cell r="W14">
            <v>0</v>
          </cell>
        </row>
        <row r="15">
          <cell r="A15">
            <v>12</v>
          </cell>
          <cell r="B15" t="str">
            <v>Felipe Bonilla</v>
          </cell>
          <cell r="C15">
            <v>167</v>
          </cell>
          <cell r="D15" t="str">
            <v>KANE</v>
          </cell>
          <cell r="E15">
            <v>7</v>
          </cell>
          <cell r="F15" t="str">
            <v>RUS</v>
          </cell>
          <cell r="G15" t="str">
            <v>ESP</v>
          </cell>
          <cell r="H15" t="str">
            <v>FRA</v>
          </cell>
          <cell r="I15" t="str">
            <v>ALE</v>
          </cell>
          <cell r="J15" t="str">
            <v>ARA</v>
          </cell>
          <cell r="K15" t="str">
            <v>ESP</v>
          </cell>
          <cell r="L15" t="str">
            <v>COR</v>
          </cell>
          <cell r="M15" t="str">
            <v>IRA</v>
          </cell>
          <cell r="N15" t="str">
            <v>BEL</v>
          </cell>
          <cell r="O15" t="str">
            <v>EUR</v>
          </cell>
          <cell r="P15" t="str">
            <v>AME</v>
          </cell>
          <cell r="Q15">
            <v>120</v>
          </cell>
          <cell r="R15" t="str">
            <v>CUADRADO</v>
          </cell>
          <cell r="S15" t="str">
            <v>JAMES</v>
          </cell>
          <cell r="T15">
            <v>11</v>
          </cell>
          <cell r="U15">
            <v>5</v>
          </cell>
          <cell r="V15">
            <v>3</v>
          </cell>
          <cell r="W15">
            <v>0</v>
          </cell>
        </row>
        <row r="16">
          <cell r="A16">
            <v>13</v>
          </cell>
          <cell r="B16" t="str">
            <v>Carlos A Pareja</v>
          </cell>
          <cell r="C16">
            <v>156</v>
          </cell>
          <cell r="D16" t="str">
            <v>MESSI</v>
          </cell>
          <cell r="E16">
            <v>8</v>
          </cell>
          <cell r="F16" t="str">
            <v>RUS</v>
          </cell>
          <cell r="G16" t="str">
            <v>ESP</v>
          </cell>
          <cell r="H16" t="str">
            <v>URU</v>
          </cell>
          <cell r="I16" t="str">
            <v>FRA</v>
          </cell>
          <cell r="J16" t="str">
            <v>PAN</v>
          </cell>
          <cell r="K16" t="str">
            <v>ALE</v>
          </cell>
          <cell r="L16" t="str">
            <v>IRA</v>
          </cell>
          <cell r="M16" t="str">
            <v>PAN</v>
          </cell>
          <cell r="N16" t="str">
            <v>ESP</v>
          </cell>
          <cell r="O16" t="str">
            <v>AME</v>
          </cell>
          <cell r="P16" t="str">
            <v>EUR</v>
          </cell>
          <cell r="Q16">
            <v>100</v>
          </cell>
          <cell r="R16" t="str">
            <v>FALCAO</v>
          </cell>
          <cell r="S16" t="str">
            <v>JAMES</v>
          </cell>
          <cell r="T16">
            <v>10</v>
          </cell>
          <cell r="U16">
            <v>5</v>
          </cell>
          <cell r="V16">
            <v>9</v>
          </cell>
          <cell r="W16">
            <v>60</v>
          </cell>
        </row>
        <row r="17">
          <cell r="A17">
            <v>14</v>
          </cell>
          <cell r="B17" t="str">
            <v>Nicolas Mujica R</v>
          </cell>
          <cell r="C17">
            <v>174</v>
          </cell>
          <cell r="D17" t="str">
            <v>NEYMAR</v>
          </cell>
          <cell r="E17">
            <v>8</v>
          </cell>
          <cell r="F17" t="str">
            <v>RUS</v>
          </cell>
          <cell r="G17" t="str">
            <v>BRA</v>
          </cell>
          <cell r="H17" t="str">
            <v>POR</v>
          </cell>
          <cell r="I17" t="str">
            <v>POR</v>
          </cell>
          <cell r="J17" t="str">
            <v>ARA</v>
          </cell>
          <cell r="K17" t="str">
            <v>BRA</v>
          </cell>
          <cell r="L17" t="str">
            <v>SER</v>
          </cell>
          <cell r="M17" t="str">
            <v>ARA</v>
          </cell>
          <cell r="N17" t="str">
            <v>BRA</v>
          </cell>
          <cell r="O17" t="str">
            <v>AME</v>
          </cell>
          <cell r="P17" t="str">
            <v>EUR</v>
          </cell>
          <cell r="Q17">
            <v>70</v>
          </cell>
          <cell r="R17" t="str">
            <v>FALCAO</v>
          </cell>
          <cell r="S17" t="str">
            <v>FALCAO</v>
          </cell>
          <cell r="T17">
            <v>9</v>
          </cell>
          <cell r="U17">
            <v>3</v>
          </cell>
          <cell r="V17">
            <v>7</v>
          </cell>
          <cell r="W17">
            <v>40</v>
          </cell>
        </row>
        <row r="18">
          <cell r="A18">
            <v>15</v>
          </cell>
          <cell r="B18" t="str">
            <v>Felipe Fonseca</v>
          </cell>
          <cell r="C18">
            <v>245</v>
          </cell>
          <cell r="D18" t="str">
            <v>SUAREZ</v>
          </cell>
          <cell r="E18">
            <v>8</v>
          </cell>
          <cell r="F18" t="str">
            <v>RUS</v>
          </cell>
          <cell r="G18" t="str">
            <v>ESP</v>
          </cell>
          <cell r="H18" t="str">
            <v>SEN</v>
          </cell>
          <cell r="I18" t="str">
            <v>URU</v>
          </cell>
          <cell r="J18" t="str">
            <v>ARA</v>
          </cell>
          <cell r="K18" t="str">
            <v>ESP</v>
          </cell>
          <cell r="L18" t="str">
            <v>URU</v>
          </cell>
          <cell r="M18" t="str">
            <v>ARA</v>
          </cell>
          <cell r="N18" t="str">
            <v>CRO</v>
          </cell>
          <cell r="O18" t="str">
            <v>EUR</v>
          </cell>
          <cell r="P18" t="str">
            <v>AME</v>
          </cell>
          <cell r="Q18">
            <v>70</v>
          </cell>
          <cell r="R18" t="str">
            <v>FALCAO</v>
          </cell>
          <cell r="S18" t="str">
            <v>JAMES</v>
          </cell>
          <cell r="T18">
            <v>7</v>
          </cell>
          <cell r="U18">
            <v>7</v>
          </cell>
          <cell r="V18">
            <v>8</v>
          </cell>
          <cell r="W18">
            <v>0</v>
          </cell>
        </row>
        <row r="19">
          <cell r="A19">
            <v>16</v>
          </cell>
          <cell r="B19" t="str">
            <v>Miguel A Ospina</v>
          </cell>
          <cell r="C19">
            <v>163</v>
          </cell>
          <cell r="D19" t="str">
            <v>MULLER</v>
          </cell>
          <cell r="E19">
            <v>6</v>
          </cell>
          <cell r="F19" t="str">
            <v>RUS</v>
          </cell>
          <cell r="G19" t="str">
            <v>ALE</v>
          </cell>
          <cell r="H19" t="str">
            <v>BEL</v>
          </cell>
          <cell r="I19" t="str">
            <v>BRA</v>
          </cell>
          <cell r="J19" t="str">
            <v>PAN</v>
          </cell>
          <cell r="K19" t="str">
            <v>ALE</v>
          </cell>
          <cell r="L19" t="str">
            <v>COR</v>
          </cell>
          <cell r="M19" t="str">
            <v>PAN</v>
          </cell>
          <cell r="N19" t="str">
            <v>ALE</v>
          </cell>
          <cell r="O19" t="str">
            <v>EUR</v>
          </cell>
          <cell r="P19" t="str">
            <v>EUR</v>
          </cell>
          <cell r="Q19">
            <v>170</v>
          </cell>
          <cell r="R19" t="str">
            <v>FALCAO</v>
          </cell>
          <cell r="S19" t="str">
            <v>JAMES</v>
          </cell>
          <cell r="T19">
            <v>5</v>
          </cell>
          <cell r="U19">
            <v>7</v>
          </cell>
          <cell r="V19">
            <v>7</v>
          </cell>
          <cell r="W19">
            <v>0</v>
          </cell>
        </row>
        <row r="20">
          <cell r="A20">
            <v>17</v>
          </cell>
          <cell r="B20" t="str">
            <v>Christian Benitez</v>
          </cell>
          <cell r="C20">
            <v>181</v>
          </cell>
          <cell r="D20" t="str">
            <v>NEYMAR</v>
          </cell>
          <cell r="E20">
            <v>6</v>
          </cell>
          <cell r="F20" t="str">
            <v>RUS</v>
          </cell>
          <cell r="G20" t="str">
            <v>BRA</v>
          </cell>
          <cell r="H20" t="str">
            <v>COL</v>
          </cell>
          <cell r="I20" t="str">
            <v>JAP</v>
          </cell>
          <cell r="J20" t="str">
            <v>SER</v>
          </cell>
          <cell r="K20" t="str">
            <v>BRA</v>
          </cell>
          <cell r="L20" t="str">
            <v>SER</v>
          </cell>
          <cell r="M20" t="str">
            <v>ISL</v>
          </cell>
          <cell r="N20" t="str">
            <v>BRA</v>
          </cell>
          <cell r="O20" t="str">
            <v>AME</v>
          </cell>
          <cell r="P20" t="str">
            <v>EUR</v>
          </cell>
          <cell r="Q20">
            <v>120</v>
          </cell>
          <cell r="R20" t="str">
            <v>FALCAO</v>
          </cell>
          <cell r="S20" t="str">
            <v>JAMES</v>
          </cell>
          <cell r="T20">
            <v>6</v>
          </cell>
          <cell r="U20">
            <v>5</v>
          </cell>
          <cell r="V20">
            <v>8</v>
          </cell>
          <cell r="W20">
            <v>40</v>
          </cell>
        </row>
        <row r="21">
          <cell r="A21">
            <v>18</v>
          </cell>
          <cell r="B21" t="str">
            <v>Andres Harker</v>
          </cell>
          <cell r="C21">
            <v>179</v>
          </cell>
          <cell r="D21" t="str">
            <v>RONALDO</v>
          </cell>
          <cell r="E21">
            <v>7</v>
          </cell>
          <cell r="F21" t="str">
            <v>RUS</v>
          </cell>
          <cell r="G21" t="str">
            <v>ESP</v>
          </cell>
          <cell r="H21" t="str">
            <v>POR</v>
          </cell>
          <cell r="I21" t="str">
            <v>CRO</v>
          </cell>
          <cell r="J21" t="str">
            <v>TUN</v>
          </cell>
          <cell r="K21" t="str">
            <v>BRA</v>
          </cell>
          <cell r="L21" t="str">
            <v>MAR</v>
          </cell>
          <cell r="M21" t="str">
            <v>TUN</v>
          </cell>
          <cell r="N21" t="str">
            <v>BRA</v>
          </cell>
          <cell r="O21" t="str">
            <v>AME</v>
          </cell>
          <cell r="P21" t="str">
            <v>EUR</v>
          </cell>
          <cell r="Q21">
            <v>40</v>
          </cell>
          <cell r="R21" t="str">
            <v>FALCAO</v>
          </cell>
          <cell r="S21" t="str">
            <v>JAMES</v>
          </cell>
          <cell r="T21">
            <v>6</v>
          </cell>
          <cell r="U21">
            <v>3</v>
          </cell>
          <cell r="V21">
            <v>7</v>
          </cell>
          <cell r="W21">
            <v>80</v>
          </cell>
        </row>
        <row r="22">
          <cell r="A22">
            <v>19</v>
          </cell>
          <cell r="B22" t="str">
            <v>John Rojas</v>
          </cell>
          <cell r="C22">
            <v>171</v>
          </cell>
          <cell r="D22" t="str">
            <v>FALCAO</v>
          </cell>
          <cell r="E22">
            <v>7</v>
          </cell>
          <cell r="F22" t="str">
            <v>RUS</v>
          </cell>
          <cell r="G22" t="str">
            <v>COL</v>
          </cell>
          <cell r="H22" t="str">
            <v>ING</v>
          </cell>
          <cell r="I22" t="str">
            <v>ING</v>
          </cell>
          <cell r="J22" t="str">
            <v>TUN</v>
          </cell>
          <cell r="K22" t="str">
            <v>BRA</v>
          </cell>
          <cell r="L22" t="str">
            <v>TUN</v>
          </cell>
          <cell r="M22" t="str">
            <v>TUN</v>
          </cell>
          <cell r="N22" t="str">
            <v>ALE</v>
          </cell>
          <cell r="O22" t="str">
            <v>AME</v>
          </cell>
          <cell r="P22" t="str">
            <v>AME</v>
          </cell>
          <cell r="Q22">
            <v>20</v>
          </cell>
          <cell r="R22" t="str">
            <v>BORJA</v>
          </cell>
          <cell r="S22" t="str">
            <v>FALCAO</v>
          </cell>
          <cell r="T22">
            <v>14</v>
          </cell>
          <cell r="U22">
            <v>5</v>
          </cell>
          <cell r="V22">
            <v>1</v>
          </cell>
          <cell r="W22">
            <v>0</v>
          </cell>
        </row>
        <row r="23">
          <cell r="A23">
            <v>20</v>
          </cell>
          <cell r="B23" t="str">
            <v>Alfredo Gómez</v>
          </cell>
          <cell r="C23">
            <v>193</v>
          </cell>
          <cell r="D23" t="str">
            <v>LEVANDOWSKY</v>
          </cell>
          <cell r="E23">
            <v>5</v>
          </cell>
          <cell r="F23" t="str">
            <v>RUS</v>
          </cell>
          <cell r="G23" t="str">
            <v>BRA</v>
          </cell>
          <cell r="H23" t="str">
            <v>ING</v>
          </cell>
          <cell r="I23" t="str">
            <v>BRA</v>
          </cell>
          <cell r="J23" t="str">
            <v>MAR</v>
          </cell>
          <cell r="K23" t="str">
            <v>BRA</v>
          </cell>
          <cell r="L23" t="str">
            <v>MAR</v>
          </cell>
          <cell r="M23" t="str">
            <v>BRA</v>
          </cell>
          <cell r="N23" t="str">
            <v>COL</v>
          </cell>
          <cell r="O23" t="str">
            <v>AME</v>
          </cell>
          <cell r="P23" t="str">
            <v>AME</v>
          </cell>
          <cell r="Q23">
            <v>20</v>
          </cell>
          <cell r="R23" t="str">
            <v>JAMES</v>
          </cell>
          <cell r="S23" t="str">
            <v>FALCAO</v>
          </cell>
          <cell r="T23">
            <v>7</v>
          </cell>
          <cell r="U23">
            <v>2</v>
          </cell>
          <cell r="V23">
            <v>6</v>
          </cell>
          <cell r="W23">
            <v>0</v>
          </cell>
        </row>
        <row r="24">
          <cell r="A24">
            <v>21</v>
          </cell>
          <cell r="B24" t="str">
            <v>Daniel Escobar</v>
          </cell>
          <cell r="C24">
            <v>135</v>
          </cell>
          <cell r="D24" t="str">
            <v>MESSI</v>
          </cell>
          <cell r="E24">
            <v>7</v>
          </cell>
          <cell r="F24" t="str">
            <v>RUS</v>
          </cell>
          <cell r="G24" t="str">
            <v>BRA</v>
          </cell>
          <cell r="H24" t="str">
            <v>URU</v>
          </cell>
          <cell r="I24" t="str">
            <v>ARG</v>
          </cell>
          <cell r="J24" t="str">
            <v>COS</v>
          </cell>
          <cell r="K24" t="str">
            <v>BRA</v>
          </cell>
          <cell r="L24" t="str">
            <v>TUN</v>
          </cell>
          <cell r="M24" t="str">
            <v>COR</v>
          </cell>
          <cell r="N24" t="str">
            <v>BRA</v>
          </cell>
          <cell r="O24" t="str">
            <v>AME</v>
          </cell>
          <cell r="P24" t="str">
            <v>EUR</v>
          </cell>
          <cell r="Q24">
            <v>80</v>
          </cell>
          <cell r="R24" t="str">
            <v>ARIAS</v>
          </cell>
          <cell r="S24" t="str">
            <v>JAMES</v>
          </cell>
          <cell r="T24">
            <v>9</v>
          </cell>
          <cell r="U24">
            <v>4</v>
          </cell>
          <cell r="V24">
            <v>7</v>
          </cell>
          <cell r="W24">
            <v>0</v>
          </cell>
        </row>
        <row r="25">
          <cell r="A25">
            <v>22</v>
          </cell>
          <cell r="B25" t="str">
            <v>Juan S Araújo</v>
          </cell>
          <cell r="C25">
            <v>154</v>
          </cell>
          <cell r="D25" t="str">
            <v>MESSI</v>
          </cell>
          <cell r="E25">
            <v>6</v>
          </cell>
          <cell r="F25" t="str">
            <v>RUS</v>
          </cell>
          <cell r="G25" t="str">
            <v>BRA</v>
          </cell>
          <cell r="H25" t="str">
            <v>CRO</v>
          </cell>
          <cell r="I25" t="str">
            <v>COS</v>
          </cell>
          <cell r="J25" t="str">
            <v>IRA</v>
          </cell>
          <cell r="K25" t="str">
            <v>ALE</v>
          </cell>
          <cell r="L25" t="str">
            <v>MAR</v>
          </cell>
          <cell r="M25" t="str">
            <v>IRA</v>
          </cell>
          <cell r="N25" t="str">
            <v>COL</v>
          </cell>
          <cell r="O25" t="str">
            <v>EUR</v>
          </cell>
          <cell r="P25" t="str">
            <v>AME</v>
          </cell>
          <cell r="Q25">
            <v>160</v>
          </cell>
          <cell r="R25" t="str">
            <v>JAMES</v>
          </cell>
          <cell r="S25" t="str">
            <v>JAMES</v>
          </cell>
          <cell r="T25">
            <v>5</v>
          </cell>
          <cell r="U25">
            <v>2</v>
          </cell>
          <cell r="V25">
            <v>14</v>
          </cell>
          <cell r="W25">
            <v>0</v>
          </cell>
        </row>
        <row r="26">
          <cell r="A26">
            <v>23</v>
          </cell>
          <cell r="B26" t="str">
            <v>Natalia Uribe</v>
          </cell>
          <cell r="C26">
            <v>176</v>
          </cell>
          <cell r="D26" t="str">
            <v>RONALDO</v>
          </cell>
          <cell r="E26">
            <v>8</v>
          </cell>
          <cell r="F26" t="str">
            <v>RUS</v>
          </cell>
          <cell r="G26" t="str">
            <v>ESP</v>
          </cell>
          <cell r="H26" t="str">
            <v>POR</v>
          </cell>
          <cell r="I26" t="str">
            <v>FRA</v>
          </cell>
          <cell r="J26" t="str">
            <v>PER</v>
          </cell>
          <cell r="K26" t="str">
            <v>COR</v>
          </cell>
          <cell r="L26" t="str">
            <v>PAN</v>
          </cell>
          <cell r="M26" t="str">
            <v>ALE</v>
          </cell>
          <cell r="N26" t="str">
            <v>ING</v>
          </cell>
          <cell r="O26" t="str">
            <v>EUR</v>
          </cell>
          <cell r="P26" t="str">
            <v>AME</v>
          </cell>
          <cell r="Q26">
            <v>100</v>
          </cell>
          <cell r="R26" t="str">
            <v>JAMES</v>
          </cell>
          <cell r="S26" t="str">
            <v>FALCAO</v>
          </cell>
          <cell r="T26">
            <v>8</v>
          </cell>
          <cell r="U26">
            <v>6</v>
          </cell>
          <cell r="V26">
            <v>9</v>
          </cell>
          <cell r="W26">
            <v>60</v>
          </cell>
        </row>
        <row r="27">
          <cell r="A27">
            <v>24</v>
          </cell>
          <cell r="B27" t="str">
            <v>Camilo Russi</v>
          </cell>
          <cell r="C27">
            <v>155</v>
          </cell>
          <cell r="D27" t="str">
            <v>MESSI</v>
          </cell>
          <cell r="E27">
            <v>6</v>
          </cell>
          <cell r="F27" t="str">
            <v>RUS</v>
          </cell>
          <cell r="G27" t="str">
            <v>ALE</v>
          </cell>
          <cell r="H27" t="str">
            <v>BEL</v>
          </cell>
          <cell r="I27" t="str">
            <v>ALE</v>
          </cell>
          <cell r="J27" t="str">
            <v>IRA</v>
          </cell>
          <cell r="K27" t="str">
            <v>BRA</v>
          </cell>
          <cell r="L27" t="str">
            <v>IRA</v>
          </cell>
          <cell r="M27" t="str">
            <v>IRA</v>
          </cell>
          <cell r="N27" t="str">
            <v>ALE</v>
          </cell>
          <cell r="O27" t="str">
            <v>AME</v>
          </cell>
          <cell r="P27" t="str">
            <v>EUR</v>
          </cell>
          <cell r="Q27">
            <v>120</v>
          </cell>
          <cell r="R27" t="str">
            <v>FALCAO</v>
          </cell>
          <cell r="S27" t="str">
            <v>JAMES</v>
          </cell>
          <cell r="T27">
            <v>9</v>
          </cell>
          <cell r="U27">
            <v>4</v>
          </cell>
          <cell r="V27">
            <v>7</v>
          </cell>
          <cell r="W27">
            <v>0</v>
          </cell>
        </row>
        <row r="28">
          <cell r="A28">
            <v>25</v>
          </cell>
          <cell r="B28" t="str">
            <v>Enrique Uribe</v>
          </cell>
          <cell r="C28">
            <v>182</v>
          </cell>
          <cell r="D28" t="str">
            <v>LEVANDOWSKY</v>
          </cell>
          <cell r="E28">
            <v>8</v>
          </cell>
          <cell r="F28" t="str">
            <v>RUS</v>
          </cell>
          <cell r="G28" t="str">
            <v>ALE</v>
          </cell>
          <cell r="H28" t="str">
            <v>JAP</v>
          </cell>
          <cell r="I28" t="str">
            <v>URU</v>
          </cell>
          <cell r="J28" t="str">
            <v>NIG</v>
          </cell>
          <cell r="K28" t="str">
            <v>BRA</v>
          </cell>
          <cell r="L28" t="str">
            <v>SEN</v>
          </cell>
          <cell r="M28" t="str">
            <v>ARA</v>
          </cell>
          <cell r="N28" t="str">
            <v>ESP</v>
          </cell>
          <cell r="O28" t="str">
            <v>EUR</v>
          </cell>
          <cell r="P28" t="str">
            <v>AME</v>
          </cell>
          <cell r="Q28">
            <v>70</v>
          </cell>
          <cell r="R28" t="str">
            <v>FALCAO</v>
          </cell>
          <cell r="S28" t="str">
            <v>CUADRADO</v>
          </cell>
          <cell r="T28">
            <v>9</v>
          </cell>
          <cell r="U28">
            <v>5</v>
          </cell>
          <cell r="V28">
            <v>9</v>
          </cell>
          <cell r="W28">
            <v>60</v>
          </cell>
        </row>
        <row r="29">
          <cell r="A29">
            <v>26</v>
          </cell>
          <cell r="B29" t="str">
            <v>Andres Aguirre</v>
          </cell>
          <cell r="C29">
            <v>180</v>
          </cell>
          <cell r="D29" t="str">
            <v>MESSI</v>
          </cell>
          <cell r="E29">
            <v>6</v>
          </cell>
          <cell r="F29" t="str">
            <v>URU</v>
          </cell>
          <cell r="G29" t="str">
            <v>BRA</v>
          </cell>
          <cell r="H29" t="str">
            <v>ESP</v>
          </cell>
          <cell r="I29" t="str">
            <v>ARG</v>
          </cell>
          <cell r="J29" t="str">
            <v>IRA</v>
          </cell>
          <cell r="K29" t="str">
            <v>ESP</v>
          </cell>
          <cell r="L29" t="str">
            <v>PAN</v>
          </cell>
          <cell r="M29" t="str">
            <v>PAN</v>
          </cell>
          <cell r="N29" t="str">
            <v>ALE</v>
          </cell>
          <cell r="O29" t="str">
            <v>AME</v>
          </cell>
          <cell r="P29" t="str">
            <v>EUR</v>
          </cell>
          <cell r="Q29">
            <v>170</v>
          </cell>
          <cell r="R29" t="str">
            <v>FALCAO</v>
          </cell>
          <cell r="S29" t="str">
            <v>JAMES</v>
          </cell>
          <cell r="T29">
            <v>7</v>
          </cell>
          <cell r="U29">
            <v>5</v>
          </cell>
          <cell r="V29">
            <v>7</v>
          </cell>
          <cell r="W29">
            <v>0</v>
          </cell>
        </row>
        <row r="30">
          <cell r="A30">
            <v>27</v>
          </cell>
          <cell r="B30" t="str">
            <v>Juan C Lemaitre</v>
          </cell>
          <cell r="C30">
            <v>166</v>
          </cell>
          <cell r="D30" t="str">
            <v>NEYMAR</v>
          </cell>
          <cell r="E30">
            <v>7</v>
          </cell>
          <cell r="F30" t="str">
            <v>RUS</v>
          </cell>
          <cell r="G30" t="str">
            <v>BRA</v>
          </cell>
          <cell r="H30" t="str">
            <v>URU</v>
          </cell>
          <cell r="I30" t="str">
            <v>ARG</v>
          </cell>
          <cell r="J30" t="str">
            <v>PAN</v>
          </cell>
          <cell r="K30" t="str">
            <v>BRA</v>
          </cell>
          <cell r="L30" t="str">
            <v>PAN</v>
          </cell>
          <cell r="M30" t="str">
            <v>SER</v>
          </cell>
          <cell r="N30" t="str">
            <v>ING</v>
          </cell>
          <cell r="O30" t="str">
            <v>AME</v>
          </cell>
          <cell r="P30" t="str">
            <v>EUR</v>
          </cell>
          <cell r="Q30">
            <v>170</v>
          </cell>
          <cell r="R30" t="str">
            <v>FALCAO</v>
          </cell>
          <cell r="S30" t="str">
            <v>FALCAO</v>
          </cell>
          <cell r="T30">
            <v>8</v>
          </cell>
          <cell r="U30">
            <v>3</v>
          </cell>
          <cell r="V30">
            <v>10</v>
          </cell>
          <cell r="W30">
            <v>40</v>
          </cell>
        </row>
        <row r="31">
          <cell r="A31">
            <v>28</v>
          </cell>
          <cell r="B31" t="str">
            <v>Fernando Fonseca</v>
          </cell>
          <cell r="C31">
            <v>182</v>
          </cell>
          <cell r="D31" t="str">
            <v>NEYMAR</v>
          </cell>
          <cell r="E31">
            <v>13</v>
          </cell>
          <cell r="F31" t="str">
            <v>RUS</v>
          </cell>
          <cell r="G31" t="str">
            <v>ALE</v>
          </cell>
          <cell r="H31" t="str">
            <v>ING</v>
          </cell>
          <cell r="I31" t="str">
            <v>COL</v>
          </cell>
          <cell r="J31" t="str">
            <v>PAN</v>
          </cell>
          <cell r="K31" t="str">
            <v>ALE</v>
          </cell>
          <cell r="L31" t="str">
            <v>PAN</v>
          </cell>
          <cell r="M31" t="str">
            <v>PAN</v>
          </cell>
          <cell r="N31" t="str">
            <v>ALE</v>
          </cell>
          <cell r="O31" t="str">
            <v>AME</v>
          </cell>
          <cell r="P31" t="str">
            <v>EUR</v>
          </cell>
          <cell r="Q31">
            <v>130</v>
          </cell>
          <cell r="R31" t="str">
            <v>FALCAO</v>
          </cell>
          <cell r="S31" t="str">
            <v>JAMES</v>
          </cell>
          <cell r="T31">
            <v>10</v>
          </cell>
          <cell r="U31">
            <v>6</v>
          </cell>
          <cell r="V31">
            <v>6</v>
          </cell>
          <cell r="W31">
            <v>0</v>
          </cell>
        </row>
        <row r="32">
          <cell r="A32">
            <v>29</v>
          </cell>
          <cell r="B32" t="str">
            <v>Rodofo Rojas</v>
          </cell>
          <cell r="C32">
            <v>147</v>
          </cell>
          <cell r="D32" t="str">
            <v>MESSI</v>
          </cell>
          <cell r="E32">
            <v>6</v>
          </cell>
          <cell r="F32" t="str">
            <v>RUS</v>
          </cell>
          <cell r="G32" t="str">
            <v>BRA</v>
          </cell>
          <cell r="H32" t="str">
            <v>FRA</v>
          </cell>
          <cell r="I32" t="str">
            <v>COL</v>
          </cell>
          <cell r="J32" t="str">
            <v>ARA</v>
          </cell>
          <cell r="K32" t="str">
            <v>ESP</v>
          </cell>
          <cell r="L32" t="str">
            <v>FRA</v>
          </cell>
          <cell r="M32" t="str">
            <v>ARA</v>
          </cell>
          <cell r="N32" t="str">
            <v>BRA</v>
          </cell>
          <cell r="O32" t="str">
            <v>AME</v>
          </cell>
          <cell r="P32" t="str">
            <v>EUR</v>
          </cell>
          <cell r="Q32">
            <v>120</v>
          </cell>
          <cell r="R32" t="str">
            <v>FALCAO</v>
          </cell>
          <cell r="S32" t="str">
            <v>JAMES</v>
          </cell>
          <cell r="T32">
            <v>8</v>
          </cell>
          <cell r="U32">
            <v>6</v>
          </cell>
          <cell r="V32">
            <v>8</v>
          </cell>
          <cell r="W32">
            <v>0</v>
          </cell>
        </row>
        <row r="33">
          <cell r="A33">
            <v>30</v>
          </cell>
          <cell r="B33" t="str">
            <v>Cesar A Gómez</v>
          </cell>
          <cell r="C33">
            <v>177</v>
          </cell>
          <cell r="D33" t="str">
            <v>NEYMAR</v>
          </cell>
          <cell r="E33">
            <v>6</v>
          </cell>
          <cell r="F33" t="str">
            <v>RUS</v>
          </cell>
          <cell r="G33" t="str">
            <v>ALE</v>
          </cell>
          <cell r="H33" t="str">
            <v>RUS</v>
          </cell>
          <cell r="I33" t="str">
            <v>ARG</v>
          </cell>
          <cell r="J33" t="str">
            <v>ARA</v>
          </cell>
          <cell r="K33" t="str">
            <v>BRA</v>
          </cell>
          <cell r="L33" t="str">
            <v>ARA</v>
          </cell>
          <cell r="M33" t="str">
            <v>IRA</v>
          </cell>
          <cell r="N33" t="str">
            <v>BRA</v>
          </cell>
          <cell r="O33" t="str">
            <v>EUR</v>
          </cell>
          <cell r="P33" t="str">
            <v>AME</v>
          </cell>
          <cell r="Q33">
            <v>160</v>
          </cell>
          <cell r="R33" t="str">
            <v>JAMES</v>
          </cell>
          <cell r="S33" t="str">
            <v>FALCAO</v>
          </cell>
          <cell r="T33">
            <v>6</v>
          </cell>
          <cell r="U33">
            <v>2</v>
          </cell>
          <cell r="V33">
            <v>6</v>
          </cell>
          <cell r="W33">
            <v>40</v>
          </cell>
        </row>
        <row r="34">
          <cell r="A34">
            <v>31</v>
          </cell>
          <cell r="B34" t="str">
            <v>Paula - Gonzalo</v>
          </cell>
          <cell r="C34">
            <v>190</v>
          </cell>
          <cell r="D34" t="str">
            <v>NEYMAR</v>
          </cell>
          <cell r="E34">
            <v>7</v>
          </cell>
          <cell r="F34" t="str">
            <v>RUS</v>
          </cell>
          <cell r="G34" t="str">
            <v>ESP</v>
          </cell>
          <cell r="H34" t="str">
            <v>URU</v>
          </cell>
          <cell r="I34" t="str">
            <v>POR</v>
          </cell>
          <cell r="J34" t="str">
            <v>IRA</v>
          </cell>
          <cell r="K34" t="str">
            <v>BRA</v>
          </cell>
          <cell r="L34" t="str">
            <v>IRA</v>
          </cell>
          <cell r="M34" t="str">
            <v>ARA</v>
          </cell>
          <cell r="N34" t="str">
            <v>BEL</v>
          </cell>
          <cell r="O34" t="str">
            <v>EUR</v>
          </cell>
          <cell r="P34" t="str">
            <v>AME</v>
          </cell>
          <cell r="Q34">
            <v>70</v>
          </cell>
          <cell r="R34" t="str">
            <v>FALCAO</v>
          </cell>
          <cell r="S34" t="str">
            <v>JAMES</v>
          </cell>
          <cell r="T34">
            <v>10</v>
          </cell>
          <cell r="U34">
            <v>5</v>
          </cell>
          <cell r="V34">
            <v>7</v>
          </cell>
          <cell r="W34">
            <v>0</v>
          </cell>
        </row>
        <row r="35">
          <cell r="A35">
            <v>32</v>
          </cell>
          <cell r="B35" t="str">
            <v xml:space="preserve">Roberto Fonnegra </v>
          </cell>
          <cell r="C35">
            <v>162</v>
          </cell>
          <cell r="D35" t="str">
            <v>MESSI</v>
          </cell>
          <cell r="E35">
            <v>7</v>
          </cell>
          <cell r="F35" t="str">
            <v>RUS</v>
          </cell>
          <cell r="G35" t="str">
            <v>BRA</v>
          </cell>
          <cell r="H35" t="str">
            <v>ARG</v>
          </cell>
          <cell r="I35" t="str">
            <v>COL</v>
          </cell>
          <cell r="J35" t="str">
            <v>ARA</v>
          </cell>
          <cell r="K35" t="str">
            <v>BRA</v>
          </cell>
          <cell r="L35" t="str">
            <v>COR</v>
          </cell>
          <cell r="M35" t="str">
            <v>ARA</v>
          </cell>
          <cell r="N35" t="str">
            <v>BRA</v>
          </cell>
          <cell r="O35" t="str">
            <v>AME</v>
          </cell>
          <cell r="P35" t="str">
            <v>EUR</v>
          </cell>
          <cell r="Q35">
            <v>70</v>
          </cell>
          <cell r="R35" t="str">
            <v>FALCAO</v>
          </cell>
          <cell r="S35" t="str">
            <v>SANCHEZ</v>
          </cell>
          <cell r="T35">
            <v>8</v>
          </cell>
          <cell r="U35">
            <v>5</v>
          </cell>
          <cell r="V35">
            <v>6</v>
          </cell>
          <cell r="W35">
            <v>0</v>
          </cell>
        </row>
        <row r="36">
          <cell r="A36">
            <v>33</v>
          </cell>
          <cell r="B36" t="str">
            <v>Santiago Arbouin</v>
          </cell>
          <cell r="C36">
            <v>180</v>
          </cell>
          <cell r="D36" t="str">
            <v>NEYMAR</v>
          </cell>
          <cell r="E36">
            <v>7</v>
          </cell>
          <cell r="F36" t="str">
            <v>RUS</v>
          </cell>
          <cell r="G36" t="str">
            <v>BRA</v>
          </cell>
          <cell r="H36" t="str">
            <v>URU</v>
          </cell>
          <cell r="I36" t="str">
            <v>ESP</v>
          </cell>
          <cell r="J36" t="str">
            <v>PAN</v>
          </cell>
          <cell r="K36" t="str">
            <v>BRA</v>
          </cell>
          <cell r="L36" t="str">
            <v>PAN</v>
          </cell>
          <cell r="M36" t="str">
            <v>ARA</v>
          </cell>
          <cell r="N36" t="str">
            <v>ALE</v>
          </cell>
          <cell r="O36" t="str">
            <v>AME</v>
          </cell>
          <cell r="P36" t="str">
            <v>EUR</v>
          </cell>
          <cell r="Q36">
            <v>130</v>
          </cell>
          <cell r="R36" t="str">
            <v>FALCAO</v>
          </cell>
          <cell r="S36" t="str">
            <v>JAMES</v>
          </cell>
          <cell r="T36">
            <v>15</v>
          </cell>
          <cell r="U36">
            <v>8</v>
          </cell>
          <cell r="V36">
            <v>3</v>
          </cell>
          <cell r="W36">
            <v>0</v>
          </cell>
        </row>
        <row r="37">
          <cell r="A37">
            <v>34</v>
          </cell>
          <cell r="B37" t="str">
            <v>Sebastián Aguirre</v>
          </cell>
          <cell r="C37">
            <v>165</v>
          </cell>
          <cell r="D37" t="str">
            <v>GABRIEL DE JESUS</v>
          </cell>
          <cell r="E37">
            <v>7</v>
          </cell>
          <cell r="F37" t="str">
            <v>RUS</v>
          </cell>
          <cell r="G37" t="str">
            <v>BRA</v>
          </cell>
          <cell r="H37" t="str">
            <v>BEL</v>
          </cell>
          <cell r="I37" t="str">
            <v>ESP</v>
          </cell>
          <cell r="J37" t="str">
            <v>PAN</v>
          </cell>
          <cell r="K37" t="str">
            <v>BRA</v>
          </cell>
          <cell r="L37" t="str">
            <v>PAN</v>
          </cell>
          <cell r="M37" t="str">
            <v>MAR</v>
          </cell>
          <cell r="N37" t="str">
            <v>ALE</v>
          </cell>
          <cell r="O37" t="str">
            <v>AME</v>
          </cell>
          <cell r="P37" t="str">
            <v>EUR</v>
          </cell>
          <cell r="Q37">
            <v>130</v>
          </cell>
          <cell r="R37" t="str">
            <v>JAMES</v>
          </cell>
          <cell r="S37" t="str">
            <v>FALCAO</v>
          </cell>
          <cell r="T37">
            <v>11</v>
          </cell>
          <cell r="U37">
            <v>6</v>
          </cell>
          <cell r="V37">
            <v>3</v>
          </cell>
          <cell r="W37">
            <v>0</v>
          </cell>
        </row>
        <row r="38">
          <cell r="A38">
            <v>35</v>
          </cell>
          <cell r="B38" t="str">
            <v>Martín Fonseca</v>
          </cell>
          <cell r="C38">
            <v>179</v>
          </cell>
          <cell r="D38" t="str">
            <v>NEYMAR</v>
          </cell>
          <cell r="E38">
            <v>6</v>
          </cell>
          <cell r="F38" t="str">
            <v>RUS</v>
          </cell>
          <cell r="G38" t="str">
            <v>ALE</v>
          </cell>
          <cell r="H38" t="str">
            <v>COL</v>
          </cell>
          <cell r="I38" t="str">
            <v>URU</v>
          </cell>
          <cell r="J38" t="str">
            <v>ARA</v>
          </cell>
          <cell r="K38" t="str">
            <v>ALE</v>
          </cell>
          <cell r="L38" t="str">
            <v>COR</v>
          </cell>
          <cell r="M38" t="str">
            <v>ARA</v>
          </cell>
          <cell r="N38" t="str">
            <v>CRO</v>
          </cell>
          <cell r="O38" t="str">
            <v>EUR</v>
          </cell>
          <cell r="P38" t="str">
            <v>EUR</v>
          </cell>
          <cell r="Q38">
            <v>140</v>
          </cell>
          <cell r="R38" t="str">
            <v>FALCAO</v>
          </cell>
          <cell r="S38" t="str">
            <v>JAMES</v>
          </cell>
          <cell r="T38">
            <v>8</v>
          </cell>
          <cell r="U38">
            <v>4</v>
          </cell>
          <cell r="V38">
            <v>7</v>
          </cell>
          <cell r="W38">
            <v>0</v>
          </cell>
        </row>
        <row r="39">
          <cell r="A39">
            <v>36</v>
          </cell>
          <cell r="B39" t="str">
            <v>Paulo &amp; Cia</v>
          </cell>
          <cell r="C39">
            <v>163</v>
          </cell>
          <cell r="D39" t="str">
            <v>NEYMAR</v>
          </cell>
          <cell r="E39">
            <v>7</v>
          </cell>
          <cell r="F39" t="str">
            <v>RUS</v>
          </cell>
          <cell r="G39" t="str">
            <v>BRA</v>
          </cell>
          <cell r="H39" t="str">
            <v>FRA</v>
          </cell>
          <cell r="I39" t="str">
            <v>BRA</v>
          </cell>
          <cell r="J39" t="str">
            <v>ARA</v>
          </cell>
          <cell r="K39" t="str">
            <v>BRA</v>
          </cell>
          <cell r="L39" t="str">
            <v>COR</v>
          </cell>
          <cell r="M39" t="str">
            <v>ARA</v>
          </cell>
          <cell r="N39" t="str">
            <v>BEL</v>
          </cell>
          <cell r="O39" t="str">
            <v>AME</v>
          </cell>
          <cell r="P39" t="str">
            <v>EUR</v>
          </cell>
          <cell r="Q39">
            <v>70</v>
          </cell>
          <cell r="R39" t="str">
            <v>FALCAO</v>
          </cell>
          <cell r="S39" t="str">
            <v>JAMES</v>
          </cell>
          <cell r="T39">
            <v>8</v>
          </cell>
          <cell r="U39">
            <v>3</v>
          </cell>
          <cell r="V39">
            <v>6</v>
          </cell>
          <cell r="W39">
            <v>40</v>
          </cell>
        </row>
        <row r="40">
          <cell r="A40">
            <v>37</v>
          </cell>
          <cell r="B40" t="str">
            <v>Alejandro Fonseca</v>
          </cell>
          <cell r="C40">
            <v>178</v>
          </cell>
          <cell r="D40" t="str">
            <v>MULLER</v>
          </cell>
          <cell r="E40">
            <v>7</v>
          </cell>
          <cell r="F40" t="str">
            <v>RUS</v>
          </cell>
          <cell r="G40" t="str">
            <v>FRA</v>
          </cell>
          <cell r="H40" t="str">
            <v>URU</v>
          </cell>
          <cell r="I40" t="str">
            <v>PER</v>
          </cell>
          <cell r="J40" t="str">
            <v>ARA</v>
          </cell>
          <cell r="K40" t="str">
            <v>ALE</v>
          </cell>
          <cell r="L40" t="str">
            <v>ARA</v>
          </cell>
          <cell r="M40" t="str">
            <v>COR</v>
          </cell>
          <cell r="N40" t="str">
            <v>ALE</v>
          </cell>
          <cell r="O40" t="str">
            <v>EUR</v>
          </cell>
          <cell r="P40" t="str">
            <v>EUR</v>
          </cell>
          <cell r="Q40">
            <v>60</v>
          </cell>
          <cell r="R40" t="str">
            <v>FALCAO</v>
          </cell>
          <cell r="S40" t="str">
            <v>JAMES</v>
          </cell>
          <cell r="T40">
            <v>9</v>
          </cell>
          <cell r="U40">
            <v>7</v>
          </cell>
          <cell r="V40">
            <v>6</v>
          </cell>
          <cell r="W40">
            <v>0</v>
          </cell>
        </row>
        <row r="41">
          <cell r="A41">
            <v>38</v>
          </cell>
          <cell r="B41" t="str">
            <v>Juan Carlos Pelaez</v>
          </cell>
          <cell r="C41">
            <v>149</v>
          </cell>
          <cell r="D41" t="str">
            <v>ASCENSIO</v>
          </cell>
          <cell r="E41">
            <v>6</v>
          </cell>
          <cell r="F41" t="str">
            <v>RUS</v>
          </cell>
          <cell r="G41" t="str">
            <v>ESP</v>
          </cell>
          <cell r="H41" t="str">
            <v>ISL</v>
          </cell>
          <cell r="I41" t="str">
            <v>POL</v>
          </cell>
          <cell r="J41" t="str">
            <v>PAN</v>
          </cell>
          <cell r="K41" t="str">
            <v>ALE</v>
          </cell>
          <cell r="L41" t="str">
            <v>TUN</v>
          </cell>
          <cell r="M41" t="str">
            <v>PAN</v>
          </cell>
          <cell r="N41" t="str">
            <v>ALE</v>
          </cell>
          <cell r="O41" t="str">
            <v>EUR</v>
          </cell>
          <cell r="P41" t="str">
            <v>AME</v>
          </cell>
          <cell r="Q41">
            <v>150</v>
          </cell>
          <cell r="R41" t="str">
            <v>JAMES</v>
          </cell>
          <cell r="S41" t="str">
            <v>JAMES</v>
          </cell>
          <cell r="T41">
            <v>10</v>
          </cell>
          <cell r="U41">
            <v>5</v>
          </cell>
          <cell r="V41">
            <v>12</v>
          </cell>
          <cell r="W41">
            <v>0</v>
          </cell>
        </row>
        <row r="42">
          <cell r="A42">
            <v>39</v>
          </cell>
          <cell r="B42" t="str">
            <v>Oscar Cuervo</v>
          </cell>
          <cell r="C42">
            <v>151</v>
          </cell>
          <cell r="D42" t="str">
            <v>WERMER</v>
          </cell>
          <cell r="E42">
            <v>6</v>
          </cell>
          <cell r="F42" t="str">
            <v>RUS</v>
          </cell>
          <cell r="G42" t="str">
            <v>ALE</v>
          </cell>
          <cell r="H42" t="str">
            <v>ESP</v>
          </cell>
          <cell r="I42" t="str">
            <v>ARG</v>
          </cell>
          <cell r="J42" t="str">
            <v>COR</v>
          </cell>
          <cell r="K42" t="str">
            <v>ALE</v>
          </cell>
          <cell r="L42" t="str">
            <v>ARA</v>
          </cell>
          <cell r="M42" t="str">
            <v>ARA</v>
          </cell>
          <cell r="N42" t="str">
            <v>ALE</v>
          </cell>
          <cell r="O42" t="str">
            <v>EUR</v>
          </cell>
          <cell r="P42" t="str">
            <v>EUR</v>
          </cell>
          <cell r="Q42">
            <v>180</v>
          </cell>
          <cell r="R42" t="str">
            <v>FALCAO</v>
          </cell>
          <cell r="S42" t="str">
            <v>JAMES</v>
          </cell>
          <cell r="T42">
            <v>7</v>
          </cell>
          <cell r="U42">
            <v>5</v>
          </cell>
          <cell r="V42">
            <v>7</v>
          </cell>
          <cell r="W42">
            <v>0</v>
          </cell>
        </row>
        <row r="43">
          <cell r="A43">
            <v>40</v>
          </cell>
          <cell r="B43" t="str">
            <v>Asmed Garcia</v>
          </cell>
          <cell r="C43">
            <v>182</v>
          </cell>
          <cell r="D43" t="str">
            <v>ISCO</v>
          </cell>
          <cell r="E43">
            <v>7</v>
          </cell>
          <cell r="F43" t="str">
            <v>RUS</v>
          </cell>
          <cell r="G43" t="str">
            <v>ESP</v>
          </cell>
          <cell r="H43" t="str">
            <v>POR</v>
          </cell>
          <cell r="I43" t="str">
            <v>POR</v>
          </cell>
          <cell r="J43" t="str">
            <v>ARA</v>
          </cell>
          <cell r="K43" t="str">
            <v>ESP</v>
          </cell>
          <cell r="L43" t="str">
            <v>ARA</v>
          </cell>
          <cell r="M43" t="str">
            <v>ARA</v>
          </cell>
          <cell r="N43" t="str">
            <v>BRA</v>
          </cell>
          <cell r="O43" t="str">
            <v>EUR</v>
          </cell>
          <cell r="P43" t="str">
            <v>AME</v>
          </cell>
          <cell r="Q43">
            <v>70</v>
          </cell>
          <cell r="R43" t="str">
            <v>FALCAO</v>
          </cell>
          <cell r="S43" t="str">
            <v>JAMES</v>
          </cell>
          <cell r="T43">
            <v>9</v>
          </cell>
          <cell r="U43">
            <v>6</v>
          </cell>
          <cell r="V43">
            <v>7</v>
          </cell>
          <cell r="W43">
            <v>0</v>
          </cell>
        </row>
        <row r="44">
          <cell r="A44">
            <v>41</v>
          </cell>
          <cell r="B44" t="str">
            <v>Juan Fernando Fonseca</v>
          </cell>
          <cell r="C44">
            <v>166</v>
          </cell>
          <cell r="D44" t="str">
            <v>MESSI</v>
          </cell>
          <cell r="E44">
            <v>13</v>
          </cell>
          <cell r="F44" t="str">
            <v>RUS</v>
          </cell>
          <cell r="G44" t="str">
            <v>ARG</v>
          </cell>
          <cell r="H44" t="str">
            <v>ESP</v>
          </cell>
          <cell r="I44" t="str">
            <v>CRO</v>
          </cell>
          <cell r="J44" t="str">
            <v>PAN</v>
          </cell>
          <cell r="K44" t="str">
            <v>ARG</v>
          </cell>
          <cell r="L44" t="str">
            <v>PAN</v>
          </cell>
          <cell r="M44" t="str">
            <v>IRA</v>
          </cell>
          <cell r="N44" t="str">
            <v>COS</v>
          </cell>
          <cell r="O44" t="str">
            <v>AME</v>
          </cell>
          <cell r="P44" t="str">
            <v>EUR</v>
          </cell>
          <cell r="Q44">
            <v>130</v>
          </cell>
          <cell r="R44" t="str">
            <v>FALCAO</v>
          </cell>
          <cell r="S44" t="str">
            <v>JAMES</v>
          </cell>
          <cell r="T44">
            <v>7</v>
          </cell>
          <cell r="U44">
            <v>7</v>
          </cell>
          <cell r="V44">
            <v>4</v>
          </cell>
          <cell r="W44">
            <v>0</v>
          </cell>
        </row>
        <row r="45">
          <cell r="A45">
            <v>42</v>
          </cell>
          <cell r="B45" t="str">
            <v>Sandra Díez</v>
          </cell>
          <cell r="C45">
            <v>191</v>
          </cell>
          <cell r="D45" t="str">
            <v>NEYMAR</v>
          </cell>
          <cell r="E45">
            <v>7</v>
          </cell>
          <cell r="F45" t="str">
            <v>RUS</v>
          </cell>
          <cell r="G45" t="str">
            <v>BRA</v>
          </cell>
          <cell r="H45" t="str">
            <v>ALE</v>
          </cell>
          <cell r="I45" t="str">
            <v>PAN</v>
          </cell>
          <cell r="J45" t="str">
            <v>MAR</v>
          </cell>
          <cell r="K45" t="str">
            <v>ALE</v>
          </cell>
          <cell r="L45" t="str">
            <v>COR</v>
          </cell>
          <cell r="M45" t="str">
            <v>EGI</v>
          </cell>
          <cell r="N45" t="str">
            <v>BRA</v>
          </cell>
          <cell r="O45" t="str">
            <v>AME</v>
          </cell>
          <cell r="P45" t="str">
            <v>EUR</v>
          </cell>
          <cell r="Q45">
            <v>70</v>
          </cell>
          <cell r="R45" t="str">
            <v>FALCAO</v>
          </cell>
          <cell r="S45" t="str">
            <v>JAMES</v>
          </cell>
          <cell r="T45">
            <v>11</v>
          </cell>
          <cell r="U45">
            <v>7</v>
          </cell>
          <cell r="V45">
            <v>8</v>
          </cell>
          <cell r="W45">
            <v>0</v>
          </cell>
        </row>
        <row r="46">
          <cell r="A46">
            <v>43</v>
          </cell>
          <cell r="B46" t="str">
            <v>Ale Fonseca D</v>
          </cell>
          <cell r="C46">
            <v>168</v>
          </cell>
          <cell r="D46" t="str">
            <v>ISCO</v>
          </cell>
          <cell r="E46">
            <v>6</v>
          </cell>
          <cell r="F46" t="str">
            <v>URU</v>
          </cell>
          <cell r="G46" t="str">
            <v>ESP</v>
          </cell>
          <cell r="H46" t="str">
            <v>URU</v>
          </cell>
          <cell r="I46" t="str">
            <v>AUS</v>
          </cell>
          <cell r="J46" t="str">
            <v>SER</v>
          </cell>
          <cell r="K46" t="str">
            <v>ALE</v>
          </cell>
          <cell r="L46" t="str">
            <v>NIG</v>
          </cell>
          <cell r="M46" t="str">
            <v>ARA</v>
          </cell>
          <cell r="N46" t="str">
            <v>BRA</v>
          </cell>
          <cell r="O46" t="str">
            <v>EUR</v>
          </cell>
          <cell r="P46" t="str">
            <v>EUR</v>
          </cell>
          <cell r="Q46">
            <v>120</v>
          </cell>
          <cell r="R46" t="str">
            <v>JAMES</v>
          </cell>
          <cell r="S46" t="str">
            <v>FALCAO</v>
          </cell>
          <cell r="T46">
            <v>8</v>
          </cell>
          <cell r="U46">
            <v>6</v>
          </cell>
          <cell r="V46">
            <v>8</v>
          </cell>
          <cell r="W46">
            <v>0</v>
          </cell>
        </row>
        <row r="47">
          <cell r="A47">
            <v>44</v>
          </cell>
          <cell r="B47" t="str">
            <v>Luis Eduardo Fonseca</v>
          </cell>
          <cell r="C47">
            <v>191</v>
          </cell>
          <cell r="D47" t="str">
            <v>NEYMAR</v>
          </cell>
          <cell r="E47">
            <v>6</v>
          </cell>
          <cell r="F47" t="str">
            <v>RUS</v>
          </cell>
          <cell r="G47" t="str">
            <v>BRA</v>
          </cell>
          <cell r="H47" t="str">
            <v>EGI</v>
          </cell>
          <cell r="I47" t="str">
            <v>ARA</v>
          </cell>
          <cell r="J47" t="str">
            <v>PAN</v>
          </cell>
          <cell r="K47" t="str">
            <v>BRA</v>
          </cell>
          <cell r="L47" t="str">
            <v>PAN</v>
          </cell>
          <cell r="M47" t="str">
            <v>TUN</v>
          </cell>
          <cell r="N47" t="str">
            <v>BRA</v>
          </cell>
          <cell r="O47" t="str">
            <v>AME</v>
          </cell>
          <cell r="P47" t="str">
            <v>EUR</v>
          </cell>
          <cell r="Q47">
            <v>150</v>
          </cell>
          <cell r="R47" t="str">
            <v>FALCAO</v>
          </cell>
          <cell r="S47" t="str">
            <v>FALCAO</v>
          </cell>
          <cell r="T47">
            <v>9</v>
          </cell>
          <cell r="U47">
            <v>5</v>
          </cell>
          <cell r="V47">
            <v>6</v>
          </cell>
          <cell r="W47">
            <v>0</v>
          </cell>
        </row>
        <row r="48">
          <cell r="A48">
            <v>45</v>
          </cell>
          <cell r="B48" t="str">
            <v>Hernando Garcia</v>
          </cell>
          <cell r="C48">
            <v>173</v>
          </cell>
          <cell r="D48" t="str">
            <v>RONALDO</v>
          </cell>
          <cell r="E48">
            <v>8</v>
          </cell>
          <cell r="F48" t="str">
            <v>RUS</v>
          </cell>
          <cell r="G48" t="str">
            <v>POR</v>
          </cell>
          <cell r="H48" t="str">
            <v>DIN</v>
          </cell>
          <cell r="I48" t="str">
            <v>POR</v>
          </cell>
          <cell r="J48" t="str">
            <v>ISL</v>
          </cell>
          <cell r="K48" t="str">
            <v>BRA</v>
          </cell>
          <cell r="L48" t="str">
            <v>IRA</v>
          </cell>
          <cell r="M48" t="str">
            <v>ARA</v>
          </cell>
          <cell r="N48" t="str">
            <v>ALE</v>
          </cell>
          <cell r="O48" t="str">
            <v>AME</v>
          </cell>
          <cell r="P48" t="str">
            <v>EUR</v>
          </cell>
          <cell r="Q48">
            <v>70</v>
          </cell>
          <cell r="R48" t="str">
            <v>CUADRADO</v>
          </cell>
          <cell r="S48" t="str">
            <v>BORJA</v>
          </cell>
          <cell r="T48">
            <v>9</v>
          </cell>
          <cell r="U48">
            <v>4</v>
          </cell>
          <cell r="V48">
            <v>12</v>
          </cell>
          <cell r="W48">
            <v>0</v>
          </cell>
        </row>
        <row r="49">
          <cell r="A49">
            <v>46</v>
          </cell>
          <cell r="B49" t="str">
            <v>Alvaro Holguin</v>
          </cell>
          <cell r="C49">
            <v>172</v>
          </cell>
          <cell r="D49" t="str">
            <v>FALCAO</v>
          </cell>
          <cell r="E49">
            <v>7</v>
          </cell>
          <cell r="F49" t="str">
            <v>RUS</v>
          </cell>
          <cell r="G49" t="str">
            <v>ARG</v>
          </cell>
          <cell r="H49" t="str">
            <v>BEL</v>
          </cell>
          <cell r="I49" t="str">
            <v>ING</v>
          </cell>
          <cell r="J49" t="str">
            <v>IRA</v>
          </cell>
          <cell r="K49" t="str">
            <v>BRA</v>
          </cell>
          <cell r="L49" t="str">
            <v>ARA</v>
          </cell>
          <cell r="M49" t="str">
            <v>CRO</v>
          </cell>
          <cell r="N49" t="str">
            <v>ING</v>
          </cell>
          <cell r="O49" t="str">
            <v>EUR</v>
          </cell>
          <cell r="P49" t="str">
            <v>AME</v>
          </cell>
          <cell r="Q49">
            <v>40</v>
          </cell>
          <cell r="R49" t="str">
            <v>FALCAO</v>
          </cell>
          <cell r="S49" t="str">
            <v>FALCAO</v>
          </cell>
          <cell r="T49">
            <v>7</v>
          </cell>
          <cell r="U49">
            <v>3</v>
          </cell>
          <cell r="V49">
            <v>5</v>
          </cell>
          <cell r="W49">
            <v>40</v>
          </cell>
        </row>
        <row r="50">
          <cell r="A50">
            <v>47</v>
          </cell>
          <cell r="B50" t="str">
            <v>Ernesto C Lemaitre F</v>
          </cell>
          <cell r="C50">
            <v>159</v>
          </cell>
          <cell r="D50" t="str">
            <v>NEYMAR</v>
          </cell>
          <cell r="E50">
            <v>6</v>
          </cell>
          <cell r="F50" t="str">
            <v>RUS</v>
          </cell>
          <cell r="G50" t="str">
            <v>BRA</v>
          </cell>
          <cell r="H50" t="str">
            <v>ESP</v>
          </cell>
          <cell r="I50" t="str">
            <v>FRA</v>
          </cell>
          <cell r="J50" t="str">
            <v>ARA</v>
          </cell>
          <cell r="K50" t="str">
            <v>ESP</v>
          </cell>
          <cell r="L50" t="str">
            <v>ARA</v>
          </cell>
          <cell r="M50" t="str">
            <v>PAN</v>
          </cell>
          <cell r="N50" t="str">
            <v>POL</v>
          </cell>
          <cell r="O50" t="str">
            <v>AME</v>
          </cell>
          <cell r="P50" t="str">
            <v>EUR</v>
          </cell>
          <cell r="Q50">
            <v>120</v>
          </cell>
          <cell r="R50" t="str">
            <v>FALCAO</v>
          </cell>
          <cell r="S50" t="str">
            <v>JAMES</v>
          </cell>
          <cell r="T50">
            <v>5</v>
          </cell>
          <cell r="U50">
            <v>5</v>
          </cell>
          <cell r="V50">
            <v>11</v>
          </cell>
          <cell r="W50">
            <v>0</v>
          </cell>
        </row>
        <row r="51">
          <cell r="A51">
            <v>48</v>
          </cell>
          <cell r="B51" t="str">
            <v>Alejandro-Camilo Borrero</v>
          </cell>
          <cell r="C51">
            <v>200</v>
          </cell>
          <cell r="D51" t="str">
            <v>ISCO</v>
          </cell>
          <cell r="E51">
            <v>9</v>
          </cell>
          <cell r="F51" t="str">
            <v>RUS</v>
          </cell>
          <cell r="G51" t="str">
            <v>BRA</v>
          </cell>
          <cell r="H51" t="str">
            <v>ALE</v>
          </cell>
          <cell r="I51" t="str">
            <v>ESP</v>
          </cell>
          <cell r="J51" t="str">
            <v>ISL</v>
          </cell>
          <cell r="K51" t="str">
            <v>ESP</v>
          </cell>
          <cell r="L51" t="str">
            <v>COL</v>
          </cell>
          <cell r="M51" t="str">
            <v>FRA</v>
          </cell>
          <cell r="N51" t="str">
            <v>ESP</v>
          </cell>
          <cell r="O51" t="str">
            <v>EUR</v>
          </cell>
          <cell r="P51" t="str">
            <v>AME</v>
          </cell>
          <cell r="Q51">
            <v>40</v>
          </cell>
          <cell r="R51" t="str">
            <v>JAMES</v>
          </cell>
          <cell r="S51" t="str">
            <v>MINA</v>
          </cell>
          <cell r="T51">
            <v>16</v>
          </cell>
          <cell r="U51">
            <v>11</v>
          </cell>
          <cell r="V51">
            <v>3</v>
          </cell>
          <cell r="W51">
            <v>30</v>
          </cell>
        </row>
        <row r="52">
          <cell r="A52">
            <v>49</v>
          </cell>
          <cell r="B52" t="str">
            <v>Toqui - Estefania - Daniel</v>
          </cell>
          <cell r="C52">
            <v>169</v>
          </cell>
          <cell r="D52" t="str">
            <v>MESSI</v>
          </cell>
          <cell r="E52">
            <v>6</v>
          </cell>
          <cell r="F52" t="str">
            <v>RUS</v>
          </cell>
          <cell r="G52" t="str">
            <v>ALE</v>
          </cell>
          <cell r="H52" t="str">
            <v>ISL</v>
          </cell>
          <cell r="I52" t="str">
            <v>ALE</v>
          </cell>
          <cell r="J52" t="str">
            <v>MAR</v>
          </cell>
          <cell r="K52" t="str">
            <v>ALE</v>
          </cell>
          <cell r="L52" t="str">
            <v>ARG</v>
          </cell>
          <cell r="M52" t="str">
            <v>MAR</v>
          </cell>
          <cell r="N52" t="str">
            <v>ING</v>
          </cell>
          <cell r="O52" t="str">
            <v>EUR</v>
          </cell>
          <cell r="P52" t="str">
            <v>EUR</v>
          </cell>
          <cell r="Q52">
            <v>240</v>
          </cell>
          <cell r="R52" t="str">
            <v>JAMES</v>
          </cell>
          <cell r="S52" t="str">
            <v>JAMES</v>
          </cell>
          <cell r="T52">
            <v>7</v>
          </cell>
          <cell r="U52">
            <v>4</v>
          </cell>
          <cell r="V52">
            <v>5</v>
          </cell>
          <cell r="W52">
            <v>0</v>
          </cell>
        </row>
        <row r="53">
          <cell r="A53">
            <v>50</v>
          </cell>
          <cell r="B53" t="str">
            <v>Toqui Lemaitre</v>
          </cell>
          <cell r="C53">
            <v>158</v>
          </cell>
          <cell r="D53" t="str">
            <v>NEYMAR</v>
          </cell>
          <cell r="E53">
            <v>6</v>
          </cell>
          <cell r="F53" t="str">
            <v>RUS</v>
          </cell>
          <cell r="G53" t="str">
            <v>ALE</v>
          </cell>
          <cell r="H53" t="str">
            <v>SUI</v>
          </cell>
          <cell r="I53" t="str">
            <v>POL</v>
          </cell>
          <cell r="J53" t="str">
            <v>ISL</v>
          </cell>
          <cell r="K53" t="str">
            <v>ALE</v>
          </cell>
          <cell r="L53" t="str">
            <v>FRA</v>
          </cell>
          <cell r="M53" t="str">
            <v>ARA</v>
          </cell>
          <cell r="N53" t="str">
            <v>MEX</v>
          </cell>
          <cell r="O53" t="str">
            <v>AME</v>
          </cell>
          <cell r="P53" t="str">
            <v>EUR</v>
          </cell>
          <cell r="Q53">
            <v>120</v>
          </cell>
          <cell r="R53" t="str">
            <v>FALCAO</v>
          </cell>
          <cell r="S53" t="str">
            <v>FALCAO</v>
          </cell>
          <cell r="T53">
            <v>9</v>
          </cell>
          <cell r="U53">
            <v>4</v>
          </cell>
          <cell r="V53">
            <v>6</v>
          </cell>
          <cell r="W53">
            <v>0</v>
          </cell>
        </row>
        <row r="54">
          <cell r="A54">
            <v>51</v>
          </cell>
          <cell r="B54" t="str">
            <v>Christian Hassig</v>
          </cell>
          <cell r="C54">
            <v>160</v>
          </cell>
          <cell r="D54" t="str">
            <v>MULLER</v>
          </cell>
          <cell r="E54">
            <v>6</v>
          </cell>
          <cell r="F54" t="str">
            <v>RUS</v>
          </cell>
          <cell r="G54" t="str">
            <v>ALE</v>
          </cell>
          <cell r="H54" t="str">
            <v>FRA</v>
          </cell>
          <cell r="I54" t="str">
            <v>SUI</v>
          </cell>
          <cell r="J54" t="str">
            <v>PAN</v>
          </cell>
          <cell r="K54" t="str">
            <v>ALE</v>
          </cell>
          <cell r="L54" t="str">
            <v>AUS</v>
          </cell>
          <cell r="M54" t="str">
            <v>IRA</v>
          </cell>
          <cell r="N54" t="str">
            <v>ALE</v>
          </cell>
          <cell r="O54" t="str">
            <v>EUR</v>
          </cell>
          <cell r="P54" t="str">
            <v>AME</v>
          </cell>
          <cell r="Q54">
            <v>51</v>
          </cell>
          <cell r="R54" t="str">
            <v>FALCAO</v>
          </cell>
          <cell r="S54" t="str">
            <v>FALCAO</v>
          </cell>
          <cell r="T54">
            <v>7</v>
          </cell>
          <cell r="U54">
            <v>5</v>
          </cell>
          <cell r="V54">
            <v>6</v>
          </cell>
          <cell r="W54">
            <v>0</v>
          </cell>
        </row>
        <row r="55">
          <cell r="A55"/>
          <cell r="B55" t="str">
            <v>No. Aciertos</v>
          </cell>
          <cell r="C55">
            <v>1</v>
          </cell>
          <cell r="D55">
            <v>1</v>
          </cell>
          <cell r="E55">
            <v>19</v>
          </cell>
          <cell r="F55">
            <v>47</v>
          </cell>
          <cell r="G55">
            <v>0</v>
          </cell>
          <cell r="H55">
            <v>2</v>
          </cell>
          <cell r="I55">
            <v>6</v>
          </cell>
          <cell r="J55">
            <v>11</v>
          </cell>
          <cell r="K55">
            <v>0</v>
          </cell>
          <cell r="L55">
            <v>10</v>
          </cell>
          <cell r="M55">
            <v>0</v>
          </cell>
          <cell r="N55">
            <v>0</v>
          </cell>
          <cell r="O55">
            <v>21</v>
          </cell>
          <cell r="P55">
            <v>34</v>
          </cell>
          <cell r="Q55">
            <v>36</v>
          </cell>
          <cell r="R55">
            <v>0</v>
          </cell>
          <cell r="S55">
            <v>1</v>
          </cell>
          <cell r="T55">
            <v>4</v>
          </cell>
          <cell r="U55">
            <v>5</v>
          </cell>
          <cell r="V55">
            <v>3</v>
          </cell>
          <cell r="W55">
            <v>40</v>
          </cell>
        </row>
        <row r="56"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</row>
        <row r="57"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</row>
        <row r="58"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</row>
        <row r="59"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</row>
        <row r="60"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</row>
        <row r="61"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</row>
        <row r="62"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</row>
        <row r="63"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</row>
        <row r="64"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</row>
        <row r="65"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</row>
        <row r="66"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</row>
        <row r="67"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</row>
        <row r="68"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</row>
        <row r="69"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</row>
        <row r="70"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</row>
        <row r="71"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</row>
        <row r="72"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</row>
        <row r="73"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</row>
        <row r="74"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</row>
        <row r="75"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</row>
        <row r="76"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</row>
      </sheetData>
      <sheetData sheetId="14"/>
      <sheetData sheetId="15"/>
      <sheetData sheetId="16">
        <row r="23">
          <cell r="A23"/>
          <cell r="B23" t="str">
            <v>Grupo A</v>
          </cell>
          <cell r="C23"/>
          <cell r="D23"/>
          <cell r="E23"/>
          <cell r="F23"/>
          <cell r="G23"/>
          <cell r="H23"/>
          <cell r="J23"/>
          <cell r="K23" t="str">
            <v>Grupo B</v>
          </cell>
          <cell r="L23"/>
          <cell r="M23"/>
          <cell r="N23"/>
          <cell r="O23"/>
          <cell r="P23"/>
          <cell r="Q23"/>
          <cell r="S23"/>
          <cell r="T23" t="str">
            <v>Grupo C</v>
          </cell>
          <cell r="U23"/>
          <cell r="V23"/>
          <cell r="W23"/>
          <cell r="X23"/>
          <cell r="Y23"/>
          <cell r="Z23"/>
          <cell r="AB23"/>
          <cell r="AC23" t="str">
            <v>Grupo D</v>
          </cell>
          <cell r="AD23"/>
          <cell r="AE23"/>
          <cell r="AF23"/>
          <cell r="AG23"/>
          <cell r="AH23"/>
          <cell r="AI23"/>
        </row>
        <row r="24">
          <cell r="A24"/>
          <cell r="B24"/>
          <cell r="C24" t="str">
            <v>Est</v>
          </cell>
          <cell r="D24" t="str">
            <v>Real</v>
          </cell>
          <cell r="E24" t="str">
            <v>Ptos</v>
          </cell>
          <cell r="F24" t="str">
            <v>Real</v>
          </cell>
          <cell r="G24" t="str">
            <v>Est</v>
          </cell>
          <cell r="H24"/>
          <cell r="J24"/>
          <cell r="K24"/>
          <cell r="L24" t="str">
            <v>Est</v>
          </cell>
          <cell r="M24" t="str">
            <v>Real</v>
          </cell>
          <cell r="N24" t="str">
            <v>Ptos</v>
          </cell>
          <cell r="O24" t="str">
            <v>Real</v>
          </cell>
          <cell r="P24" t="str">
            <v>Est</v>
          </cell>
          <cell r="Q24"/>
          <cell r="S24"/>
          <cell r="T24"/>
          <cell r="U24" t="str">
            <v>Est</v>
          </cell>
          <cell r="V24" t="str">
            <v>Real</v>
          </cell>
          <cell r="W24" t="str">
            <v>Ptos</v>
          </cell>
          <cell r="X24" t="str">
            <v>Real</v>
          </cell>
          <cell r="Y24" t="str">
            <v>Est</v>
          </cell>
          <cell r="Z24"/>
          <cell r="AB24"/>
          <cell r="AC24"/>
          <cell r="AD24" t="str">
            <v>Est</v>
          </cell>
          <cell r="AE24" t="str">
            <v>Real</v>
          </cell>
          <cell r="AF24" t="str">
            <v>Ptos</v>
          </cell>
          <cell r="AG24" t="str">
            <v>Real</v>
          </cell>
          <cell r="AH24" t="str">
            <v>Est</v>
          </cell>
          <cell r="AI24"/>
        </row>
        <row r="25">
          <cell r="A25">
            <v>1</v>
          </cell>
          <cell r="B25" t="str">
            <v>RUS Rusia</v>
          </cell>
          <cell r="C25"/>
          <cell r="D25">
            <v>5</v>
          </cell>
          <cell r="E25">
            <v>23</v>
          </cell>
          <cell r="F25">
            <v>0</v>
          </cell>
          <cell r="G25"/>
          <cell r="H25" t="str">
            <v>ARA Arabia S</v>
          </cell>
          <cell r="J25">
            <v>3</v>
          </cell>
          <cell r="K25" t="str">
            <v>MAR Marruecos</v>
          </cell>
          <cell r="L25"/>
          <cell r="M25">
            <v>0</v>
          </cell>
          <cell r="N25">
            <v>15</v>
          </cell>
          <cell r="O25">
            <v>1</v>
          </cell>
          <cell r="P25"/>
          <cell r="Q25" t="str">
            <v>IRA Irán</v>
          </cell>
          <cell r="S25">
            <v>5</v>
          </cell>
          <cell r="T25" t="str">
            <v>FRA Francia</v>
          </cell>
          <cell r="U25"/>
          <cell r="V25">
            <v>2</v>
          </cell>
          <cell r="W25">
            <v>25</v>
          </cell>
          <cell r="X25">
            <v>1</v>
          </cell>
          <cell r="Y25"/>
          <cell r="Z25" t="str">
            <v>AUS Australia</v>
          </cell>
          <cell r="AB25">
            <v>6</v>
          </cell>
          <cell r="AC25" t="str">
            <v>ARG Argentina</v>
          </cell>
          <cell r="AD25"/>
          <cell r="AE25">
            <v>1</v>
          </cell>
          <cell r="AF25">
            <v>0</v>
          </cell>
          <cell r="AG25">
            <v>1</v>
          </cell>
          <cell r="AH25"/>
          <cell r="AI25" t="str">
            <v>ISL Islandia</v>
          </cell>
        </row>
        <row r="26">
          <cell r="A26">
            <v>2</v>
          </cell>
          <cell r="B26" t="str">
            <v>EGI Egipto</v>
          </cell>
          <cell r="C26"/>
          <cell r="D26">
            <v>0</v>
          </cell>
          <cell r="E26">
            <v>15</v>
          </cell>
          <cell r="F26">
            <v>1</v>
          </cell>
          <cell r="G26"/>
          <cell r="H26" t="str">
            <v>URU Uruguay</v>
          </cell>
          <cell r="J26">
            <v>4</v>
          </cell>
          <cell r="K26" t="str">
            <v>POR Portugal</v>
          </cell>
          <cell r="L26"/>
          <cell r="M26">
            <v>3</v>
          </cell>
          <cell r="N26">
            <v>15</v>
          </cell>
          <cell r="O26">
            <v>3</v>
          </cell>
          <cell r="P26"/>
          <cell r="Q26" t="str">
            <v>ESP España</v>
          </cell>
          <cell r="S26">
            <v>7</v>
          </cell>
          <cell r="T26" t="str">
            <v>PER Perú</v>
          </cell>
          <cell r="U26"/>
          <cell r="V26">
            <v>0</v>
          </cell>
          <cell r="W26">
            <v>0</v>
          </cell>
          <cell r="X26">
            <v>1</v>
          </cell>
          <cell r="Y26"/>
          <cell r="Z26" t="str">
            <v>DIN Dinamarca</v>
          </cell>
          <cell r="AB26">
            <v>8</v>
          </cell>
          <cell r="AC26" t="str">
            <v>CRO Croacia</v>
          </cell>
          <cell r="AD26"/>
          <cell r="AE26">
            <v>2</v>
          </cell>
          <cell r="AF26">
            <v>15</v>
          </cell>
          <cell r="AG26">
            <v>0</v>
          </cell>
          <cell r="AH26"/>
          <cell r="AI26" t="str">
            <v>NIG Nigeria</v>
          </cell>
        </row>
        <row r="27">
          <cell r="A27">
            <v>17</v>
          </cell>
          <cell r="B27" t="str">
            <v>RUS Rusia</v>
          </cell>
          <cell r="C27"/>
          <cell r="D27">
            <v>3</v>
          </cell>
          <cell r="E27">
            <v>8</v>
          </cell>
          <cell r="F27">
            <v>1</v>
          </cell>
          <cell r="G27"/>
          <cell r="H27" t="str">
            <v>EGI Egipto</v>
          </cell>
          <cell r="J27">
            <v>18</v>
          </cell>
          <cell r="K27" t="str">
            <v>POR Portugal</v>
          </cell>
          <cell r="L27"/>
          <cell r="M27">
            <v>1</v>
          </cell>
          <cell r="N27">
            <v>23</v>
          </cell>
          <cell r="O27">
            <v>0</v>
          </cell>
          <cell r="P27"/>
          <cell r="Q27" t="str">
            <v>MAR Marruecos</v>
          </cell>
          <cell r="S27">
            <v>21</v>
          </cell>
          <cell r="T27" t="str">
            <v>FRA Francia</v>
          </cell>
          <cell r="U27"/>
          <cell r="V27">
            <v>1</v>
          </cell>
          <cell r="W27">
            <v>8</v>
          </cell>
          <cell r="X27">
            <v>0</v>
          </cell>
          <cell r="Y27"/>
          <cell r="Z27" t="str">
            <v>PER Perú</v>
          </cell>
          <cell r="AB27">
            <v>23</v>
          </cell>
          <cell r="AC27" t="str">
            <v>ARG Argentina</v>
          </cell>
          <cell r="AD27"/>
          <cell r="AE27">
            <v>0</v>
          </cell>
          <cell r="AF27">
            <v>0</v>
          </cell>
          <cell r="AG27">
            <v>3</v>
          </cell>
          <cell r="AH27"/>
          <cell r="AI27" t="str">
            <v>CRO Croacia</v>
          </cell>
        </row>
        <row r="28">
          <cell r="A28">
            <v>19</v>
          </cell>
          <cell r="B28" t="str">
            <v>URU Uruguay</v>
          </cell>
          <cell r="C28"/>
          <cell r="D28">
            <v>1</v>
          </cell>
          <cell r="E28">
            <v>15</v>
          </cell>
          <cell r="F28">
            <v>0</v>
          </cell>
          <cell r="G28"/>
          <cell r="H28" t="str">
            <v>ARA Arabia S</v>
          </cell>
          <cell r="J28">
            <v>20</v>
          </cell>
          <cell r="K28" t="str">
            <v>IRA Irán</v>
          </cell>
          <cell r="L28"/>
          <cell r="M28">
            <v>0</v>
          </cell>
          <cell r="N28">
            <v>15</v>
          </cell>
          <cell r="O28">
            <v>1</v>
          </cell>
          <cell r="P28"/>
          <cell r="Q28" t="str">
            <v>ESP España</v>
          </cell>
          <cell r="S28">
            <v>22</v>
          </cell>
          <cell r="T28" t="str">
            <v>DIN Dinamarca</v>
          </cell>
          <cell r="U28"/>
          <cell r="V28">
            <v>1</v>
          </cell>
          <cell r="W28">
            <v>15</v>
          </cell>
          <cell r="X28">
            <v>1</v>
          </cell>
          <cell r="Y28"/>
          <cell r="Z28" t="str">
            <v>AUS Australia</v>
          </cell>
          <cell r="AB28">
            <v>25</v>
          </cell>
          <cell r="AC28" t="str">
            <v>NIG Nigeria</v>
          </cell>
          <cell r="AD28"/>
          <cell r="AE28">
            <v>2</v>
          </cell>
          <cell r="AF28">
            <v>8</v>
          </cell>
          <cell r="AG28">
            <v>0</v>
          </cell>
          <cell r="AH28"/>
          <cell r="AI28" t="str">
            <v>ISL Islandia</v>
          </cell>
        </row>
        <row r="29">
          <cell r="A29">
            <v>33</v>
          </cell>
          <cell r="B29" t="str">
            <v>URU Uruguay</v>
          </cell>
          <cell r="C29"/>
          <cell r="D29">
            <v>3</v>
          </cell>
          <cell r="E29">
            <v>15</v>
          </cell>
          <cell r="F29">
            <v>0</v>
          </cell>
          <cell r="G29"/>
          <cell r="H29" t="str">
            <v>RUS Rusia</v>
          </cell>
          <cell r="J29">
            <v>35</v>
          </cell>
          <cell r="K29" t="str">
            <v>ESP España</v>
          </cell>
          <cell r="L29"/>
          <cell r="M29">
            <v>2</v>
          </cell>
          <cell r="N29">
            <v>8</v>
          </cell>
          <cell r="O29">
            <v>2</v>
          </cell>
          <cell r="P29"/>
          <cell r="Q29" t="str">
            <v>MAR Marruecos</v>
          </cell>
          <cell r="S29">
            <v>37</v>
          </cell>
          <cell r="T29" t="str">
            <v>DIN Dinamarca</v>
          </cell>
          <cell r="U29"/>
          <cell r="V29">
            <v>0</v>
          </cell>
          <cell r="W29">
            <v>8</v>
          </cell>
          <cell r="X29">
            <v>0</v>
          </cell>
          <cell r="Y29"/>
          <cell r="Z29" t="str">
            <v>FRA Francia</v>
          </cell>
          <cell r="AB29">
            <v>39</v>
          </cell>
          <cell r="AC29" t="str">
            <v>ISL Islandia</v>
          </cell>
          <cell r="AD29"/>
          <cell r="AE29">
            <v>1</v>
          </cell>
          <cell r="AF29">
            <v>23</v>
          </cell>
          <cell r="AG29">
            <v>2</v>
          </cell>
          <cell r="AH29"/>
          <cell r="AI29" t="str">
            <v>CRO Croacia</v>
          </cell>
        </row>
        <row r="30">
          <cell r="A30">
            <v>34</v>
          </cell>
          <cell r="B30" t="str">
            <v>ARA Arabia S</v>
          </cell>
          <cell r="C30"/>
          <cell r="D30">
            <v>2</v>
          </cell>
          <cell r="E30">
            <v>8</v>
          </cell>
          <cell r="F30">
            <v>1</v>
          </cell>
          <cell r="G30"/>
          <cell r="H30" t="str">
            <v>EGI Egipto</v>
          </cell>
          <cell r="J30">
            <v>36</v>
          </cell>
          <cell r="K30" t="str">
            <v>IRA Irán</v>
          </cell>
          <cell r="L30"/>
          <cell r="M30">
            <v>1</v>
          </cell>
          <cell r="N30">
            <v>0</v>
          </cell>
          <cell r="O30">
            <v>1</v>
          </cell>
          <cell r="P30"/>
          <cell r="Q30" t="str">
            <v>POR Portugal</v>
          </cell>
          <cell r="S30">
            <v>38</v>
          </cell>
          <cell r="T30" t="str">
            <v>AUS Australia</v>
          </cell>
          <cell r="U30"/>
          <cell r="V30">
            <v>0</v>
          </cell>
          <cell r="W30">
            <v>23</v>
          </cell>
          <cell r="X30">
            <v>2</v>
          </cell>
          <cell r="Y30"/>
          <cell r="Z30" t="str">
            <v>PER Perú</v>
          </cell>
          <cell r="AB30">
            <v>40</v>
          </cell>
          <cell r="AC30" t="str">
            <v>NIG Nigeria</v>
          </cell>
          <cell r="AD30"/>
          <cell r="AE30">
            <v>1</v>
          </cell>
          <cell r="AF30">
            <v>25</v>
          </cell>
          <cell r="AG30">
            <v>2</v>
          </cell>
          <cell r="AH30"/>
          <cell r="AI30" t="str">
            <v>ARG Argentina</v>
          </cell>
        </row>
        <row r="31">
          <cell r="A31"/>
          <cell r="B31" t="str">
            <v>N° Goles  :</v>
          </cell>
          <cell r="C31">
            <v>0</v>
          </cell>
          <cell r="D31">
            <v>14</v>
          </cell>
          <cell r="E31">
            <v>84</v>
          </cell>
          <cell r="F31">
            <v>3</v>
          </cell>
          <cell r="G31">
            <v>0</v>
          </cell>
          <cell r="H31"/>
          <cell r="J31"/>
          <cell r="K31" t="str">
            <v>N° Goles  :</v>
          </cell>
          <cell r="L31">
            <v>0</v>
          </cell>
          <cell r="M31">
            <v>7</v>
          </cell>
          <cell r="N31">
            <v>76</v>
          </cell>
          <cell r="O31">
            <v>8</v>
          </cell>
          <cell r="P31">
            <v>0</v>
          </cell>
          <cell r="Q31"/>
          <cell r="S31"/>
          <cell r="T31" t="str">
            <v>N° Goles  :</v>
          </cell>
          <cell r="U31">
            <v>0</v>
          </cell>
          <cell r="V31">
            <v>4</v>
          </cell>
          <cell r="W31">
            <v>79</v>
          </cell>
          <cell r="X31">
            <v>5</v>
          </cell>
          <cell r="Y31">
            <v>0</v>
          </cell>
          <cell r="Z31"/>
          <cell r="AB31"/>
          <cell r="AC31" t="str">
            <v>N° Goles  :</v>
          </cell>
          <cell r="AD31">
            <v>0</v>
          </cell>
          <cell r="AE31">
            <v>7</v>
          </cell>
          <cell r="AF31">
            <v>71</v>
          </cell>
          <cell r="AG31">
            <v>8</v>
          </cell>
          <cell r="AH31">
            <v>0</v>
          </cell>
          <cell r="AI31"/>
        </row>
        <row r="32">
          <cell r="A32"/>
          <cell r="B32" t="str">
            <v>Grupo E</v>
          </cell>
          <cell r="C32"/>
          <cell r="D32"/>
          <cell r="E32"/>
          <cell r="F32"/>
          <cell r="G32"/>
          <cell r="H32"/>
          <cell r="J32"/>
          <cell r="K32" t="str">
            <v>Grupo F</v>
          </cell>
          <cell r="L32"/>
          <cell r="M32"/>
          <cell r="N32"/>
          <cell r="O32"/>
          <cell r="P32"/>
          <cell r="Q32"/>
          <cell r="S32"/>
          <cell r="T32" t="str">
            <v>Grupo G</v>
          </cell>
          <cell r="U32"/>
          <cell r="V32"/>
          <cell r="W32"/>
          <cell r="X32"/>
          <cell r="Y32"/>
          <cell r="Z32"/>
          <cell r="AB32"/>
          <cell r="AC32" t="str">
            <v>Grupo H</v>
          </cell>
          <cell r="AD32"/>
          <cell r="AE32"/>
          <cell r="AF32"/>
          <cell r="AG32"/>
          <cell r="AH32"/>
          <cell r="AI32"/>
        </row>
        <row r="33">
          <cell r="A33"/>
          <cell r="B33"/>
          <cell r="C33" t="str">
            <v>Est</v>
          </cell>
          <cell r="D33" t="str">
            <v>Real</v>
          </cell>
          <cell r="E33" t="str">
            <v>Ptos</v>
          </cell>
          <cell r="F33" t="str">
            <v>Real</v>
          </cell>
          <cell r="G33" t="str">
            <v>Est</v>
          </cell>
          <cell r="H33"/>
          <cell r="J33"/>
          <cell r="K33"/>
          <cell r="L33" t="str">
            <v>Est</v>
          </cell>
          <cell r="M33" t="str">
            <v>Real</v>
          </cell>
          <cell r="N33" t="str">
            <v>Ptos</v>
          </cell>
          <cell r="O33" t="str">
            <v>Real</v>
          </cell>
          <cell r="P33" t="str">
            <v>Est</v>
          </cell>
          <cell r="Q33"/>
          <cell r="S33"/>
          <cell r="T33"/>
          <cell r="U33" t="str">
            <v>Est</v>
          </cell>
          <cell r="V33" t="str">
            <v>Real</v>
          </cell>
          <cell r="W33" t="str">
            <v>Ptos</v>
          </cell>
          <cell r="X33" t="str">
            <v>Real</v>
          </cell>
          <cell r="Y33" t="str">
            <v>Est</v>
          </cell>
          <cell r="Z33"/>
          <cell r="AB33"/>
          <cell r="AC33"/>
          <cell r="AD33" t="str">
            <v>Est</v>
          </cell>
          <cell r="AE33" t="str">
            <v>Real</v>
          </cell>
          <cell r="AF33" t="str">
            <v>Ptos</v>
          </cell>
          <cell r="AG33" t="str">
            <v>Real</v>
          </cell>
          <cell r="AH33" t="str">
            <v>Est</v>
          </cell>
          <cell r="AI33"/>
        </row>
        <row r="34">
          <cell r="A34">
            <v>9</v>
          </cell>
          <cell r="B34" t="str">
            <v>COS Costa Rica</v>
          </cell>
          <cell r="C34"/>
          <cell r="D34">
            <v>0</v>
          </cell>
          <cell r="E34">
            <v>0</v>
          </cell>
          <cell r="F34">
            <v>1</v>
          </cell>
          <cell r="G34"/>
          <cell r="H34" t="str">
            <v>SER Serbia</v>
          </cell>
          <cell r="J34">
            <v>10</v>
          </cell>
          <cell r="K34" t="str">
            <v>ALE Alemania</v>
          </cell>
          <cell r="L34"/>
          <cell r="M34">
            <v>0</v>
          </cell>
          <cell r="N34">
            <v>0</v>
          </cell>
          <cell r="O34">
            <v>1</v>
          </cell>
          <cell r="P34"/>
          <cell r="Q34" t="str">
            <v>MEX México</v>
          </cell>
          <cell r="S34">
            <v>13</v>
          </cell>
          <cell r="T34" t="str">
            <v>BEL Bélgica</v>
          </cell>
          <cell r="U34"/>
          <cell r="V34">
            <v>3</v>
          </cell>
          <cell r="W34">
            <v>23</v>
          </cell>
          <cell r="X34">
            <v>0</v>
          </cell>
          <cell r="Y34"/>
          <cell r="Z34" t="str">
            <v>PAN Panamá</v>
          </cell>
          <cell r="AB34">
            <v>15</v>
          </cell>
          <cell r="AC34" t="str">
            <v>POL Polonia</v>
          </cell>
          <cell r="AD34"/>
          <cell r="AE34">
            <v>1</v>
          </cell>
          <cell r="AF34">
            <v>8</v>
          </cell>
          <cell r="AG34">
            <v>2</v>
          </cell>
          <cell r="AH34"/>
          <cell r="AI34" t="str">
            <v>SEN Senegal</v>
          </cell>
        </row>
        <row r="35">
          <cell r="A35">
            <v>11</v>
          </cell>
          <cell r="B35" t="str">
            <v>BRA Brasíl</v>
          </cell>
          <cell r="C35"/>
          <cell r="D35">
            <v>1</v>
          </cell>
          <cell r="E35">
            <v>8</v>
          </cell>
          <cell r="F35">
            <v>1</v>
          </cell>
          <cell r="G35"/>
          <cell r="H35" t="str">
            <v>SUI Suiza</v>
          </cell>
          <cell r="J35">
            <v>12</v>
          </cell>
          <cell r="K35" t="str">
            <v>SUE Suecia</v>
          </cell>
          <cell r="L35"/>
          <cell r="M35">
            <v>1</v>
          </cell>
          <cell r="N35">
            <v>15</v>
          </cell>
          <cell r="O35">
            <v>0</v>
          </cell>
          <cell r="P35"/>
          <cell r="Q35" t="str">
            <v>COR Corea del Sur</v>
          </cell>
          <cell r="S35">
            <v>14</v>
          </cell>
          <cell r="T35" t="str">
            <v>TUN Túnez</v>
          </cell>
          <cell r="U35"/>
          <cell r="V35">
            <v>1</v>
          </cell>
          <cell r="W35">
            <v>15</v>
          </cell>
          <cell r="X35">
            <v>2</v>
          </cell>
          <cell r="Y35"/>
          <cell r="Z35" t="str">
            <v>ING Inglaterra</v>
          </cell>
          <cell r="AB35">
            <v>16</v>
          </cell>
          <cell r="AC35" t="str">
            <v>COL Colombia</v>
          </cell>
          <cell r="AD35"/>
          <cell r="AE35">
            <v>1</v>
          </cell>
          <cell r="AF35">
            <v>0</v>
          </cell>
          <cell r="AG35">
            <v>2</v>
          </cell>
          <cell r="AH35"/>
          <cell r="AI35" t="str">
            <v>JAP Japón</v>
          </cell>
        </row>
        <row r="36">
          <cell r="A36">
            <v>24</v>
          </cell>
          <cell r="B36" t="str">
            <v>BRA Brasíl</v>
          </cell>
          <cell r="C36"/>
          <cell r="D36">
            <v>2</v>
          </cell>
          <cell r="E36">
            <v>23</v>
          </cell>
          <cell r="F36">
            <v>0</v>
          </cell>
          <cell r="G36"/>
          <cell r="H36" t="str">
            <v>COS Costa Rica</v>
          </cell>
          <cell r="J36">
            <v>28</v>
          </cell>
          <cell r="K36" t="str">
            <v>ALE Alemania</v>
          </cell>
          <cell r="L36"/>
          <cell r="M36">
            <v>2</v>
          </cell>
          <cell r="N36">
            <v>23</v>
          </cell>
          <cell r="O36">
            <v>1</v>
          </cell>
          <cell r="P36"/>
          <cell r="Q36" t="str">
            <v>SUE Suecia</v>
          </cell>
          <cell r="S36">
            <v>27</v>
          </cell>
          <cell r="T36" t="str">
            <v>BEL Bélgica</v>
          </cell>
          <cell r="U36"/>
          <cell r="V36">
            <v>5</v>
          </cell>
          <cell r="W36">
            <v>15</v>
          </cell>
          <cell r="X36">
            <v>2</v>
          </cell>
          <cell r="Y36"/>
          <cell r="Z36" t="str">
            <v>TUN Túnez</v>
          </cell>
          <cell r="AB36">
            <v>31</v>
          </cell>
          <cell r="AC36" t="str">
            <v>JAP Japón</v>
          </cell>
          <cell r="AD36"/>
          <cell r="AE36">
            <v>2</v>
          </cell>
          <cell r="AF36">
            <v>15</v>
          </cell>
          <cell r="AG36">
            <v>2</v>
          </cell>
          <cell r="AH36"/>
          <cell r="AI36" t="str">
            <v>SEN Senegal</v>
          </cell>
        </row>
        <row r="37">
          <cell r="A37">
            <v>26</v>
          </cell>
          <cell r="B37" t="str">
            <v>SER Serbia</v>
          </cell>
          <cell r="C37"/>
          <cell r="D37">
            <v>1</v>
          </cell>
          <cell r="E37">
            <v>15</v>
          </cell>
          <cell r="F37">
            <v>2</v>
          </cell>
          <cell r="G37"/>
          <cell r="H37" t="str">
            <v>SUI Suiza</v>
          </cell>
          <cell r="J37">
            <v>29</v>
          </cell>
          <cell r="K37" t="str">
            <v>COR Corea del Sur</v>
          </cell>
          <cell r="L37"/>
          <cell r="M37">
            <v>1</v>
          </cell>
          <cell r="N37">
            <v>23</v>
          </cell>
          <cell r="O37">
            <v>2</v>
          </cell>
          <cell r="P37"/>
          <cell r="Q37" t="str">
            <v>MEX México</v>
          </cell>
          <cell r="S37">
            <v>30</v>
          </cell>
          <cell r="T37" t="str">
            <v>ING Inglaterra</v>
          </cell>
          <cell r="U37"/>
          <cell r="V37">
            <v>6</v>
          </cell>
          <cell r="W37">
            <v>15</v>
          </cell>
          <cell r="X37">
            <v>1</v>
          </cell>
          <cell r="Y37"/>
          <cell r="Z37" t="str">
            <v>PAN Panamá</v>
          </cell>
          <cell r="AB37">
            <v>32</v>
          </cell>
          <cell r="AC37" t="str">
            <v>POL Polonia</v>
          </cell>
          <cell r="AD37"/>
          <cell r="AE37">
            <v>0</v>
          </cell>
          <cell r="AF37">
            <v>15</v>
          </cell>
          <cell r="AG37">
            <v>3</v>
          </cell>
          <cell r="AH37"/>
          <cell r="AI37" t="str">
            <v>COL Colombia</v>
          </cell>
        </row>
        <row r="38">
          <cell r="A38">
            <v>43</v>
          </cell>
          <cell r="B38" t="str">
            <v>SER Serbia</v>
          </cell>
          <cell r="C38"/>
          <cell r="D38">
            <v>0</v>
          </cell>
          <cell r="E38">
            <v>23</v>
          </cell>
          <cell r="F38">
            <v>2</v>
          </cell>
          <cell r="G38"/>
          <cell r="H38" t="str">
            <v>BRA Brasíl</v>
          </cell>
          <cell r="J38">
            <v>41</v>
          </cell>
          <cell r="K38" t="str">
            <v>COR Corea del Sur</v>
          </cell>
          <cell r="L38"/>
          <cell r="M38">
            <v>2</v>
          </cell>
          <cell r="N38">
            <v>0</v>
          </cell>
          <cell r="O38">
            <v>0</v>
          </cell>
          <cell r="P38"/>
          <cell r="Q38" t="str">
            <v>ALE Alemania</v>
          </cell>
          <cell r="S38">
            <v>47</v>
          </cell>
          <cell r="T38" t="str">
            <v>ING Inglaterra</v>
          </cell>
          <cell r="U38"/>
          <cell r="V38">
            <v>0</v>
          </cell>
          <cell r="W38">
            <v>8</v>
          </cell>
          <cell r="X38">
            <v>1</v>
          </cell>
          <cell r="Y38"/>
          <cell r="Z38" t="str">
            <v>BEL Bélgica</v>
          </cell>
          <cell r="AB38">
            <v>45</v>
          </cell>
          <cell r="AC38" t="str">
            <v>JAP Japón</v>
          </cell>
          <cell r="AD38"/>
          <cell r="AE38">
            <v>0</v>
          </cell>
          <cell r="AF38">
            <v>8</v>
          </cell>
          <cell r="AG38">
            <v>1</v>
          </cell>
          <cell r="AH38"/>
          <cell r="AI38" t="str">
            <v>POL Polonia</v>
          </cell>
        </row>
        <row r="39">
          <cell r="A39">
            <v>44</v>
          </cell>
          <cell r="B39" t="str">
            <v>SUI Suiza</v>
          </cell>
          <cell r="C39"/>
          <cell r="D39">
            <v>2</v>
          </cell>
          <cell r="E39">
            <v>8</v>
          </cell>
          <cell r="F39">
            <v>2</v>
          </cell>
          <cell r="G39"/>
          <cell r="H39" t="str">
            <v>COS Costa Rica</v>
          </cell>
          <cell r="J39">
            <v>42</v>
          </cell>
          <cell r="K39" t="str">
            <v>MEX México</v>
          </cell>
          <cell r="L39"/>
          <cell r="M39">
            <v>0</v>
          </cell>
          <cell r="N39">
            <v>23</v>
          </cell>
          <cell r="O39">
            <v>3</v>
          </cell>
          <cell r="P39"/>
          <cell r="Q39" t="str">
            <v>SUE Suecia</v>
          </cell>
          <cell r="S39">
            <v>48</v>
          </cell>
          <cell r="T39" t="str">
            <v>PAN Panamá</v>
          </cell>
          <cell r="U39"/>
          <cell r="V39">
            <v>1</v>
          </cell>
          <cell r="W39">
            <v>8</v>
          </cell>
          <cell r="X39">
            <v>2</v>
          </cell>
          <cell r="Y39"/>
          <cell r="Z39" t="str">
            <v>TUN Túnez</v>
          </cell>
          <cell r="AB39">
            <v>46</v>
          </cell>
          <cell r="AC39" t="str">
            <v>SEN Senegal</v>
          </cell>
          <cell r="AD39"/>
          <cell r="AE39">
            <v>0</v>
          </cell>
          <cell r="AF39">
            <v>23</v>
          </cell>
          <cell r="AG39">
            <v>1</v>
          </cell>
          <cell r="AH39"/>
          <cell r="AI39" t="str">
            <v>COL Colombia</v>
          </cell>
        </row>
        <row r="40">
          <cell r="A40"/>
          <cell r="B40" t="str">
            <v>N° Goles  :</v>
          </cell>
          <cell r="C40">
            <v>0</v>
          </cell>
          <cell r="D40">
            <v>6</v>
          </cell>
          <cell r="E40">
            <v>77</v>
          </cell>
          <cell r="F40">
            <v>8</v>
          </cell>
          <cell r="G40">
            <v>0</v>
          </cell>
          <cell r="H40"/>
          <cell r="J40"/>
          <cell r="K40" t="str">
            <v>N° Goles  :</v>
          </cell>
          <cell r="L40">
            <v>0</v>
          </cell>
          <cell r="M40">
            <v>6</v>
          </cell>
          <cell r="N40">
            <v>84</v>
          </cell>
          <cell r="O40">
            <v>7</v>
          </cell>
          <cell r="P40">
            <v>0</v>
          </cell>
          <cell r="Q40"/>
          <cell r="S40"/>
          <cell r="T40" t="str">
            <v>N° Goles  :</v>
          </cell>
          <cell r="U40">
            <v>0</v>
          </cell>
          <cell r="V40">
            <v>16</v>
          </cell>
          <cell r="W40">
            <v>84</v>
          </cell>
          <cell r="X40">
            <v>8</v>
          </cell>
          <cell r="Y40">
            <v>0</v>
          </cell>
          <cell r="Z40"/>
          <cell r="AB40"/>
          <cell r="AC40" t="str">
            <v>N° Goles  :</v>
          </cell>
          <cell r="AD40">
            <v>0</v>
          </cell>
          <cell r="AE40">
            <v>4</v>
          </cell>
          <cell r="AF40">
            <v>69</v>
          </cell>
          <cell r="AG40">
            <v>11</v>
          </cell>
          <cell r="AH40">
            <v>0</v>
          </cell>
          <cell r="AI40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5EE2-B332-4876-B541-71C8A1EF5B13}">
  <dimension ref="A1:R42"/>
  <sheetViews>
    <sheetView showGridLines="0" topLeftCell="A2" zoomScale="118" zoomScaleNormal="118" workbookViewId="0">
      <selection activeCell="C11" activeCellId="11" sqref="F6:F7 F10:F11 I6 I11 L6 L11 O6 O11 R6 R11 C6 C11"/>
    </sheetView>
  </sheetViews>
  <sheetFormatPr baseColWidth="10" defaultColWidth="9.6640625" defaultRowHeight="13.2" x14ac:dyDescent="0.25"/>
  <cols>
    <col min="1" max="1" width="4.77734375" style="2" customWidth="1"/>
    <col min="2" max="3" width="20.77734375" style="83" customWidth="1"/>
    <col min="4" max="5" width="4.33203125" style="83" customWidth="1"/>
    <col min="6" max="6" width="5.77734375" style="2" customWidth="1"/>
    <col min="7" max="8" width="20.77734375" style="83" customWidth="1"/>
    <col min="9" max="9" width="4.33203125" style="83" customWidth="1"/>
    <col min="10" max="10" width="4" style="83" customWidth="1"/>
    <col min="11" max="11" width="2.77734375" style="2" customWidth="1"/>
    <col min="12" max="12" width="18.44140625" style="2" customWidth="1"/>
    <col min="13" max="13" width="5.44140625" style="2" bestFit="1" customWidth="1"/>
    <col min="14" max="14" width="23" style="2" customWidth="1"/>
    <col min="15" max="15" width="2.77734375" style="2" customWidth="1"/>
    <col min="16" max="16" width="22.109375" style="2" bestFit="1" customWidth="1"/>
    <col min="17" max="17" width="4.5546875" style="2" bestFit="1" customWidth="1"/>
    <col min="18" max="18" width="21.88671875" style="2" customWidth="1"/>
    <col min="19" max="19" width="4.44140625" style="2" customWidth="1"/>
    <col min="20" max="16384" width="9.6640625" style="2"/>
  </cols>
  <sheetData>
    <row r="1" spans="1:18" ht="36" customHeight="1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1"/>
      <c r="N1" s="1"/>
      <c r="O1" s="1"/>
      <c r="P1" s="1"/>
      <c r="Q1" s="1"/>
      <c r="R1" s="1"/>
    </row>
    <row r="2" spans="1:18" ht="22.05" customHeight="1" x14ac:dyDescent="0.25">
      <c r="A2" s="3"/>
      <c r="B2" s="160" t="s">
        <v>2</v>
      </c>
      <c r="C2" s="160"/>
      <c r="D2" s="160"/>
      <c r="E2" s="160"/>
      <c r="F2" s="160"/>
      <c r="G2" s="161" t="s">
        <v>3</v>
      </c>
      <c r="H2" s="161"/>
      <c r="I2" s="161"/>
      <c r="J2" s="161"/>
      <c r="L2" s="160" t="s">
        <v>2</v>
      </c>
      <c r="M2" s="160"/>
      <c r="N2" s="160"/>
      <c r="O2" s="160"/>
      <c r="P2" s="160"/>
      <c r="Q2" s="4"/>
      <c r="R2" s="4"/>
    </row>
    <row r="3" spans="1:18" ht="20.399999999999999" x14ac:dyDescent="0.25">
      <c r="A3" s="3"/>
      <c r="B3" s="160" t="s">
        <v>4</v>
      </c>
      <c r="C3" s="160"/>
      <c r="D3" s="160"/>
      <c r="E3" s="160"/>
      <c r="F3" s="160"/>
      <c r="G3" s="160" t="s">
        <v>5</v>
      </c>
      <c r="H3" s="160"/>
      <c r="I3" s="160"/>
      <c r="J3" s="160"/>
      <c r="L3" s="160" t="s">
        <v>4</v>
      </c>
      <c r="M3" s="160"/>
      <c r="N3" s="160"/>
      <c r="O3" s="160"/>
      <c r="P3" s="160"/>
    </row>
    <row r="4" spans="1:18" s="6" customFormat="1" ht="45" customHeight="1" thickBot="1" x14ac:dyDescent="0.3">
      <c r="A4" s="157" t="s">
        <v>6</v>
      </c>
      <c r="B4" s="157"/>
      <c r="C4" s="157"/>
      <c r="D4" s="157"/>
      <c r="E4" s="157"/>
      <c r="F4" s="157"/>
      <c r="G4" s="157"/>
      <c r="H4" s="157"/>
      <c r="I4" s="157"/>
      <c r="J4" s="157"/>
      <c r="K4" s="5"/>
      <c r="L4" s="5"/>
      <c r="M4" s="5"/>
      <c r="N4" s="5"/>
      <c r="O4" s="5"/>
      <c r="P4" s="5"/>
      <c r="Q4" s="5"/>
      <c r="R4" s="5"/>
    </row>
    <row r="5" spans="1:18" ht="27" customHeight="1" thickTop="1" thickBot="1" x14ac:dyDescent="0.3">
      <c r="A5" s="7"/>
      <c r="B5" s="8" t="s">
        <v>7</v>
      </c>
      <c r="C5" s="9" t="s">
        <v>8</v>
      </c>
      <c r="D5" s="158" t="s">
        <v>9</v>
      </c>
      <c r="E5" s="159"/>
      <c r="F5" s="10"/>
      <c r="G5" s="11" t="s">
        <v>7</v>
      </c>
      <c r="H5" s="9" t="s">
        <v>8</v>
      </c>
      <c r="I5" s="158" t="s">
        <v>9</v>
      </c>
      <c r="J5" s="159"/>
      <c r="K5" s="12"/>
      <c r="L5" s="13" t="s">
        <v>10</v>
      </c>
      <c r="M5" s="14"/>
      <c r="N5" s="15" t="s">
        <v>11</v>
      </c>
      <c r="O5" s="16"/>
      <c r="P5" s="17" t="s">
        <v>12</v>
      </c>
      <c r="Q5" s="18"/>
      <c r="R5" s="19" t="s">
        <v>11</v>
      </c>
    </row>
    <row r="6" spans="1:18" ht="16.95" customHeight="1" thickTop="1" x14ac:dyDescent="0.3">
      <c r="A6" s="155" t="s">
        <v>13</v>
      </c>
      <c r="B6" s="20" t="s">
        <v>14</v>
      </c>
      <c r="C6" s="21" t="s">
        <v>15</v>
      </c>
      <c r="D6" s="22" t="s">
        <v>16</v>
      </c>
      <c r="E6" s="22" t="s">
        <v>17</v>
      </c>
      <c r="F6" s="156" t="s">
        <v>18</v>
      </c>
      <c r="G6" s="20" t="s">
        <v>19</v>
      </c>
      <c r="H6" s="21" t="s">
        <v>20</v>
      </c>
      <c r="I6" s="22" t="s">
        <v>16</v>
      </c>
      <c r="J6" s="23" t="s">
        <v>17</v>
      </c>
      <c r="K6" s="24"/>
      <c r="L6" s="25" t="s">
        <v>21</v>
      </c>
      <c r="M6" s="26">
        <v>40</v>
      </c>
      <c r="N6" s="27"/>
      <c r="O6" s="28"/>
      <c r="P6" s="29" t="s">
        <v>22</v>
      </c>
      <c r="Q6" s="26">
        <v>100</v>
      </c>
      <c r="R6" s="30"/>
    </row>
    <row r="7" spans="1:18" s="39" customFormat="1" ht="19.95" customHeight="1" x14ac:dyDescent="0.3">
      <c r="A7" s="148"/>
      <c r="B7" s="31"/>
      <c r="C7" s="32"/>
      <c r="D7" s="33"/>
      <c r="E7" s="33"/>
      <c r="F7" s="150"/>
      <c r="G7" s="31"/>
      <c r="H7" s="32"/>
      <c r="I7" s="33"/>
      <c r="J7" s="34"/>
      <c r="K7" s="35"/>
      <c r="L7" s="36" t="s">
        <v>23</v>
      </c>
      <c r="M7" s="37">
        <v>40</v>
      </c>
      <c r="N7" s="38"/>
      <c r="O7" s="28"/>
      <c r="P7" s="29" t="s">
        <v>24</v>
      </c>
      <c r="Q7" s="26">
        <v>50</v>
      </c>
      <c r="R7" s="30"/>
    </row>
    <row r="8" spans="1:18" ht="16.95" customHeight="1" x14ac:dyDescent="0.3">
      <c r="A8" s="133" t="s">
        <v>25</v>
      </c>
      <c r="B8" s="40" t="s">
        <v>26</v>
      </c>
      <c r="C8" s="41" t="s">
        <v>27</v>
      </c>
      <c r="D8" s="42" t="s">
        <v>16</v>
      </c>
      <c r="E8" s="42" t="s">
        <v>17</v>
      </c>
      <c r="F8" s="149" t="s">
        <v>28</v>
      </c>
      <c r="G8" s="40" t="s">
        <v>29</v>
      </c>
      <c r="H8" s="41" t="s">
        <v>30</v>
      </c>
      <c r="I8" s="42" t="s">
        <v>16</v>
      </c>
      <c r="J8" s="43" t="s">
        <v>17</v>
      </c>
      <c r="K8" s="24"/>
      <c r="L8" s="36" t="s">
        <v>31</v>
      </c>
      <c r="M8" s="37">
        <v>50</v>
      </c>
      <c r="N8" s="38"/>
      <c r="O8" s="28"/>
      <c r="P8" s="29" t="s">
        <v>32</v>
      </c>
      <c r="Q8" s="26">
        <v>50</v>
      </c>
      <c r="R8" s="30"/>
    </row>
    <row r="9" spans="1:18" s="39" customFormat="1" ht="19.95" customHeight="1" x14ac:dyDescent="0.3">
      <c r="A9" s="148"/>
      <c r="B9" s="31"/>
      <c r="C9" s="32"/>
      <c r="D9" s="33"/>
      <c r="E9" s="33"/>
      <c r="F9" s="150"/>
      <c r="G9" s="31"/>
      <c r="H9" s="32"/>
      <c r="I9" s="33"/>
      <c r="J9" s="34"/>
      <c r="K9" s="35"/>
      <c r="L9" s="36" t="s">
        <v>33</v>
      </c>
      <c r="M9" s="37">
        <v>50</v>
      </c>
      <c r="N9" s="38"/>
      <c r="O9" s="44"/>
      <c r="P9" s="29" t="s">
        <v>34</v>
      </c>
      <c r="Q9" s="26">
        <v>20</v>
      </c>
      <c r="R9" s="30"/>
    </row>
    <row r="10" spans="1:18" ht="16.95" customHeight="1" x14ac:dyDescent="0.25">
      <c r="A10" s="133" t="s">
        <v>35</v>
      </c>
      <c r="B10" s="40" t="s">
        <v>36</v>
      </c>
      <c r="C10" s="41" t="s">
        <v>37</v>
      </c>
      <c r="D10" s="42" t="s">
        <v>16</v>
      </c>
      <c r="E10" s="42" t="s">
        <v>17</v>
      </c>
      <c r="F10" s="149" t="s">
        <v>38</v>
      </c>
      <c r="G10" s="40" t="s">
        <v>39</v>
      </c>
      <c r="H10" s="41" t="s">
        <v>40</v>
      </c>
      <c r="I10" s="42" t="s">
        <v>16</v>
      </c>
      <c r="J10" s="43" t="s">
        <v>17</v>
      </c>
      <c r="K10" s="24"/>
      <c r="L10" s="45" t="s">
        <v>41</v>
      </c>
      <c r="M10" s="37">
        <v>70</v>
      </c>
      <c r="N10" s="38"/>
      <c r="O10" s="44"/>
      <c r="P10" s="29" t="s">
        <v>42</v>
      </c>
      <c r="Q10" s="26">
        <v>20</v>
      </c>
      <c r="R10" s="30"/>
    </row>
    <row r="11" spans="1:18" s="39" customFormat="1" ht="19.95" customHeight="1" thickBot="1" x14ac:dyDescent="0.35">
      <c r="A11" s="148"/>
      <c r="B11" s="31"/>
      <c r="C11" s="32"/>
      <c r="D11" s="33"/>
      <c r="E11" s="33"/>
      <c r="F11" s="150"/>
      <c r="G11" s="31"/>
      <c r="H11" s="32"/>
      <c r="I11" s="33"/>
      <c r="J11" s="34"/>
      <c r="K11" s="35"/>
      <c r="L11" s="46" t="s">
        <v>10</v>
      </c>
      <c r="M11" s="47">
        <f>SUM(M6:M10)</f>
        <v>250</v>
      </c>
      <c r="N11" s="48"/>
      <c r="O11" s="44"/>
      <c r="P11" s="29" t="s">
        <v>43</v>
      </c>
      <c r="Q11" s="26">
        <v>40</v>
      </c>
      <c r="R11" s="30"/>
    </row>
    <row r="12" spans="1:18" ht="16.95" customHeight="1" thickTop="1" x14ac:dyDescent="0.25">
      <c r="A12" s="133" t="s">
        <v>44</v>
      </c>
      <c r="B12" s="40" t="s">
        <v>45</v>
      </c>
      <c r="C12" s="41" t="s">
        <v>46</v>
      </c>
      <c r="D12" s="42" t="s">
        <v>16</v>
      </c>
      <c r="E12" s="42" t="s">
        <v>17</v>
      </c>
      <c r="F12" s="149" t="s">
        <v>47</v>
      </c>
      <c r="G12" s="40" t="s">
        <v>48</v>
      </c>
      <c r="H12" s="41" t="s">
        <v>49</v>
      </c>
      <c r="I12" s="42" t="s">
        <v>16</v>
      </c>
      <c r="J12" s="43" t="s">
        <v>17</v>
      </c>
      <c r="K12" s="24"/>
      <c r="L12" s="49"/>
      <c r="M12" s="50"/>
      <c r="N12" s="50"/>
      <c r="O12" s="44"/>
      <c r="P12" s="29" t="s">
        <v>50</v>
      </c>
      <c r="Q12" s="26">
        <v>40</v>
      </c>
      <c r="R12" s="30"/>
    </row>
    <row r="13" spans="1:18" s="39" customFormat="1" ht="19.95" customHeight="1" x14ac:dyDescent="0.3">
      <c r="A13" s="148"/>
      <c r="B13" s="31"/>
      <c r="C13" s="32"/>
      <c r="D13" s="33"/>
      <c r="E13" s="33"/>
      <c r="F13" s="150"/>
      <c r="G13" s="31"/>
      <c r="H13" s="32"/>
      <c r="I13" s="33"/>
      <c r="J13" s="34"/>
      <c r="K13" s="35"/>
      <c r="L13" s="51"/>
      <c r="M13" s="51"/>
      <c r="N13" s="51"/>
      <c r="O13" s="44"/>
      <c r="P13" s="29" t="s">
        <v>51</v>
      </c>
      <c r="Q13" s="26">
        <v>30</v>
      </c>
      <c r="R13" s="30"/>
    </row>
    <row r="14" spans="1:18" ht="16.95" customHeight="1" x14ac:dyDescent="0.3">
      <c r="A14" s="133" t="s">
        <v>52</v>
      </c>
      <c r="B14" s="40" t="s">
        <v>53</v>
      </c>
      <c r="C14" s="41" t="s">
        <v>54</v>
      </c>
      <c r="D14" s="42" t="s">
        <v>16</v>
      </c>
      <c r="E14" s="42" t="s">
        <v>17</v>
      </c>
      <c r="F14" s="149" t="s">
        <v>55</v>
      </c>
      <c r="G14" s="40" t="s">
        <v>56</v>
      </c>
      <c r="H14" s="41" t="s">
        <v>57</v>
      </c>
      <c r="I14" s="42" t="s">
        <v>16</v>
      </c>
      <c r="J14" s="43" t="s">
        <v>17</v>
      </c>
      <c r="K14" s="24"/>
      <c r="L14" s="51"/>
      <c r="M14" s="51"/>
      <c r="N14" s="51"/>
      <c r="O14" s="44"/>
      <c r="P14" s="29" t="s">
        <v>58</v>
      </c>
      <c r="Q14" s="26">
        <v>30</v>
      </c>
      <c r="R14" s="30"/>
    </row>
    <row r="15" spans="1:18" s="39" customFormat="1" ht="19.95" customHeight="1" x14ac:dyDescent="0.3">
      <c r="A15" s="148"/>
      <c r="B15" s="31"/>
      <c r="C15" s="32"/>
      <c r="D15" s="33"/>
      <c r="E15" s="33"/>
      <c r="F15" s="150"/>
      <c r="G15" s="31"/>
      <c r="H15" s="32"/>
      <c r="I15" s="33"/>
      <c r="J15" s="34"/>
      <c r="K15" s="35"/>
      <c r="L15" s="51"/>
      <c r="M15" s="51"/>
      <c r="N15" s="51"/>
      <c r="O15" s="44"/>
      <c r="P15" s="29" t="s">
        <v>59</v>
      </c>
      <c r="Q15" s="26">
        <v>30</v>
      </c>
      <c r="R15" s="30"/>
    </row>
    <row r="16" spans="1:18" ht="16.95" customHeight="1" x14ac:dyDescent="0.3">
      <c r="A16" s="133" t="s">
        <v>60</v>
      </c>
      <c r="B16" s="40" t="s">
        <v>61</v>
      </c>
      <c r="C16" s="41" t="s">
        <v>62</v>
      </c>
      <c r="D16" s="42" t="s">
        <v>16</v>
      </c>
      <c r="E16" s="42" t="s">
        <v>17</v>
      </c>
      <c r="F16" s="149" t="s">
        <v>63</v>
      </c>
      <c r="G16" s="40" t="s">
        <v>64</v>
      </c>
      <c r="H16" s="41" t="s">
        <v>65</v>
      </c>
      <c r="I16" s="42" t="s">
        <v>16</v>
      </c>
      <c r="J16" s="43" t="s">
        <v>17</v>
      </c>
      <c r="K16" s="24"/>
      <c r="L16" s="51"/>
      <c r="M16" s="51"/>
      <c r="N16" s="51"/>
      <c r="O16" s="28"/>
      <c r="P16" s="29" t="s">
        <v>66</v>
      </c>
      <c r="Q16" s="26">
        <v>30</v>
      </c>
      <c r="R16" s="30"/>
    </row>
    <row r="17" spans="1:18" s="39" customFormat="1" ht="19.95" customHeight="1" x14ac:dyDescent="0.3">
      <c r="A17" s="148"/>
      <c r="B17" s="31"/>
      <c r="C17" s="32"/>
      <c r="D17" s="33"/>
      <c r="E17" s="33"/>
      <c r="F17" s="150"/>
      <c r="G17" s="31"/>
      <c r="H17" s="32"/>
      <c r="I17" s="33"/>
      <c r="J17" s="34"/>
      <c r="K17" s="35"/>
      <c r="L17" s="51"/>
      <c r="M17" s="51"/>
      <c r="N17" s="51"/>
      <c r="P17" s="29" t="s">
        <v>67</v>
      </c>
      <c r="Q17" s="26">
        <v>30</v>
      </c>
      <c r="R17" s="30"/>
    </row>
    <row r="18" spans="1:18" ht="16.95" customHeight="1" x14ac:dyDescent="0.3">
      <c r="A18" s="133" t="s">
        <v>68</v>
      </c>
      <c r="B18" s="40" t="s">
        <v>69</v>
      </c>
      <c r="C18" s="41" t="s">
        <v>70</v>
      </c>
      <c r="D18" s="42" t="s">
        <v>16</v>
      </c>
      <c r="E18" s="42" t="s">
        <v>17</v>
      </c>
      <c r="F18" s="149" t="s">
        <v>71</v>
      </c>
      <c r="G18" s="40" t="s">
        <v>72</v>
      </c>
      <c r="H18" s="41" t="s">
        <v>73</v>
      </c>
      <c r="I18" s="42" t="s">
        <v>16</v>
      </c>
      <c r="J18" s="43" t="s">
        <v>17</v>
      </c>
      <c r="K18" s="24"/>
      <c r="L18" s="51"/>
      <c r="M18" s="51"/>
      <c r="N18" s="51"/>
      <c r="O18" s="39"/>
      <c r="P18" s="29" t="s">
        <v>74</v>
      </c>
      <c r="Q18" s="26">
        <v>20</v>
      </c>
      <c r="R18" s="30"/>
    </row>
    <row r="19" spans="1:18" s="39" customFormat="1" ht="19.95" customHeight="1" x14ac:dyDescent="0.3">
      <c r="A19" s="148"/>
      <c r="B19" s="31"/>
      <c r="C19" s="32"/>
      <c r="D19" s="33"/>
      <c r="E19" s="33"/>
      <c r="F19" s="150"/>
      <c r="G19" s="31"/>
      <c r="H19" s="32"/>
      <c r="I19" s="33"/>
      <c r="J19" s="34"/>
      <c r="K19" s="35"/>
      <c r="L19" s="51"/>
      <c r="M19" s="51"/>
      <c r="N19" s="51"/>
      <c r="P19" s="29" t="s">
        <v>75</v>
      </c>
      <c r="Q19" s="26">
        <v>20</v>
      </c>
      <c r="R19" s="30"/>
    </row>
    <row r="20" spans="1:18" ht="16.95" customHeight="1" thickBot="1" x14ac:dyDescent="0.35">
      <c r="A20" s="133" t="s">
        <v>76</v>
      </c>
      <c r="B20" s="40" t="s">
        <v>77</v>
      </c>
      <c r="C20" s="41" t="s">
        <v>78</v>
      </c>
      <c r="D20" s="42" t="s">
        <v>16</v>
      </c>
      <c r="E20" s="42" t="s">
        <v>17</v>
      </c>
      <c r="F20" s="149" t="s">
        <v>79</v>
      </c>
      <c r="G20" s="40" t="s">
        <v>80</v>
      </c>
      <c r="H20" s="41" t="s">
        <v>81</v>
      </c>
      <c r="I20" s="42" t="s">
        <v>16</v>
      </c>
      <c r="J20" s="43" t="s">
        <v>17</v>
      </c>
      <c r="K20" s="24"/>
      <c r="L20" s="51"/>
      <c r="M20" s="51"/>
      <c r="N20" s="51"/>
      <c r="O20" s="39"/>
      <c r="P20" s="52" t="s">
        <v>82</v>
      </c>
      <c r="Q20" s="53">
        <f>SUM(Q6:Q19)</f>
        <v>510</v>
      </c>
      <c r="R20" s="54"/>
    </row>
    <row r="21" spans="1:18" s="39" customFormat="1" ht="19.95" customHeight="1" thickBot="1" x14ac:dyDescent="0.35">
      <c r="A21" s="134"/>
      <c r="B21" s="55"/>
      <c r="C21" s="56"/>
      <c r="D21" s="33"/>
      <c r="E21" s="33"/>
      <c r="F21" s="136"/>
      <c r="G21" s="55"/>
      <c r="H21" s="56"/>
      <c r="I21" s="33"/>
      <c r="J21" s="57"/>
      <c r="K21" s="24"/>
      <c r="L21" s="51"/>
    </row>
    <row r="22" spans="1:18" ht="16.8" thickTop="1" thickBot="1" x14ac:dyDescent="0.35">
      <c r="A22" s="58"/>
      <c r="B22" s="59" t="s">
        <v>7</v>
      </c>
      <c r="C22" s="60" t="s">
        <v>8</v>
      </c>
      <c r="D22" s="153" t="s">
        <v>83</v>
      </c>
      <c r="E22" s="154"/>
      <c r="F22" s="58"/>
      <c r="G22" s="59" t="s">
        <v>7</v>
      </c>
      <c r="H22" s="60" t="s">
        <v>8</v>
      </c>
      <c r="I22" s="153" t="s">
        <v>84</v>
      </c>
      <c r="J22" s="154"/>
      <c r="K22" s="24"/>
      <c r="L22" s="51"/>
    </row>
    <row r="23" spans="1:18" ht="16.95" customHeight="1" thickTop="1" x14ac:dyDescent="0.25">
      <c r="A23" s="155" t="s">
        <v>85</v>
      </c>
      <c r="B23" s="20" t="s">
        <v>86</v>
      </c>
      <c r="C23" s="21" t="s">
        <v>87</v>
      </c>
      <c r="D23" s="22" t="s">
        <v>16</v>
      </c>
      <c r="E23" s="22" t="s">
        <v>17</v>
      </c>
      <c r="F23" s="156" t="s">
        <v>88</v>
      </c>
      <c r="G23" s="20" t="s">
        <v>89</v>
      </c>
      <c r="H23" s="21" t="s">
        <v>90</v>
      </c>
      <c r="I23" s="22" t="s">
        <v>91</v>
      </c>
      <c r="J23" s="23" t="s">
        <v>92</v>
      </c>
      <c r="K23" s="61"/>
    </row>
    <row r="24" spans="1:18" s="39" customFormat="1" ht="19.95" customHeight="1" x14ac:dyDescent="0.3">
      <c r="A24" s="148"/>
      <c r="B24" s="31"/>
      <c r="C24" s="32"/>
      <c r="D24" s="33"/>
      <c r="E24" s="33"/>
      <c r="F24" s="150"/>
      <c r="G24" s="31"/>
      <c r="H24" s="32"/>
      <c r="I24" s="33"/>
      <c r="J24" s="62"/>
      <c r="K24" s="35"/>
    </row>
    <row r="25" spans="1:18" ht="16.95" customHeight="1" x14ac:dyDescent="0.25">
      <c r="A25" s="133" t="s">
        <v>93</v>
      </c>
      <c r="B25" s="40" t="s">
        <v>94</v>
      </c>
      <c r="C25" s="41" t="s">
        <v>95</v>
      </c>
      <c r="D25" s="42" t="s">
        <v>16</v>
      </c>
      <c r="E25" s="42" t="s">
        <v>17</v>
      </c>
      <c r="F25" s="149" t="s">
        <v>96</v>
      </c>
      <c r="G25" s="40" t="s">
        <v>97</v>
      </c>
      <c r="H25" s="41" t="s">
        <v>98</v>
      </c>
      <c r="I25" s="42" t="s">
        <v>91</v>
      </c>
      <c r="J25" s="63" t="s">
        <v>92</v>
      </c>
      <c r="K25" s="61"/>
    </row>
    <row r="26" spans="1:18" s="39" customFormat="1" ht="19.95" customHeight="1" x14ac:dyDescent="0.3">
      <c r="A26" s="148"/>
      <c r="B26" s="31"/>
      <c r="C26" s="32"/>
      <c r="D26" s="33"/>
      <c r="E26" s="33"/>
      <c r="F26" s="150"/>
      <c r="G26" s="31"/>
      <c r="H26" s="32"/>
      <c r="I26" s="33"/>
      <c r="J26" s="62"/>
      <c r="K26" s="35"/>
    </row>
    <row r="27" spans="1:18" ht="16.95" customHeight="1" x14ac:dyDescent="0.25">
      <c r="A27" s="133" t="s">
        <v>99</v>
      </c>
      <c r="B27" s="40" t="s">
        <v>100</v>
      </c>
      <c r="C27" s="41" t="s">
        <v>101</v>
      </c>
      <c r="D27" s="42" t="s">
        <v>16</v>
      </c>
      <c r="E27" s="42" t="s">
        <v>17</v>
      </c>
      <c r="F27" s="149" t="s">
        <v>102</v>
      </c>
      <c r="G27" s="40" t="s">
        <v>103</v>
      </c>
      <c r="H27" s="41" t="s">
        <v>104</v>
      </c>
      <c r="I27" s="42" t="s">
        <v>91</v>
      </c>
      <c r="J27" s="63" t="s">
        <v>92</v>
      </c>
      <c r="K27" s="61"/>
    </row>
    <row r="28" spans="1:18" s="39" customFormat="1" ht="19.95" customHeight="1" x14ac:dyDescent="0.3">
      <c r="A28" s="148"/>
      <c r="B28" s="31"/>
      <c r="C28" s="32"/>
      <c r="D28" s="33"/>
      <c r="E28" s="33"/>
      <c r="F28" s="150"/>
      <c r="G28" s="31"/>
      <c r="H28" s="32"/>
      <c r="I28" s="33"/>
      <c r="J28" s="62"/>
      <c r="K28" s="35"/>
    </row>
    <row r="29" spans="1:18" ht="16.95" customHeight="1" x14ac:dyDescent="0.25">
      <c r="A29" s="133" t="s">
        <v>105</v>
      </c>
      <c r="B29" s="40" t="s">
        <v>106</v>
      </c>
      <c r="C29" s="41" t="s">
        <v>107</v>
      </c>
      <c r="D29" s="42" t="s">
        <v>16</v>
      </c>
      <c r="E29" s="42" t="s">
        <v>17</v>
      </c>
      <c r="F29" s="149" t="s">
        <v>108</v>
      </c>
      <c r="G29" s="40" t="s">
        <v>109</v>
      </c>
      <c r="H29" s="41" t="s">
        <v>110</v>
      </c>
      <c r="I29" s="42" t="s">
        <v>91</v>
      </c>
      <c r="J29" s="63" t="s">
        <v>92</v>
      </c>
      <c r="K29" s="61"/>
    </row>
    <row r="30" spans="1:18" s="39" customFormat="1" ht="19.95" customHeight="1" thickBot="1" x14ac:dyDescent="0.35">
      <c r="A30" s="148"/>
      <c r="B30" s="31"/>
      <c r="C30" s="32"/>
      <c r="D30" s="33"/>
      <c r="E30" s="33"/>
      <c r="F30" s="136"/>
      <c r="G30" s="55"/>
      <c r="H30" s="56"/>
      <c r="I30" s="64"/>
      <c r="J30" s="65"/>
      <c r="K30" s="35"/>
    </row>
    <row r="31" spans="1:18" ht="16.95" customHeight="1" thickTop="1" thickBot="1" x14ac:dyDescent="0.3">
      <c r="A31" s="133" t="s">
        <v>111</v>
      </c>
      <c r="B31" s="40" t="s">
        <v>112</v>
      </c>
      <c r="C31" s="41" t="s">
        <v>113</v>
      </c>
      <c r="D31" s="42" t="s">
        <v>16</v>
      </c>
      <c r="E31" s="42" t="s">
        <v>17</v>
      </c>
      <c r="F31" s="66"/>
      <c r="G31" s="67" t="s">
        <v>7</v>
      </c>
      <c r="H31" s="67" t="s">
        <v>8</v>
      </c>
      <c r="I31" s="151" t="s">
        <v>114</v>
      </c>
      <c r="J31" s="152"/>
      <c r="K31" s="61"/>
    </row>
    <row r="32" spans="1:18" s="39" customFormat="1" ht="19.95" customHeight="1" x14ac:dyDescent="0.3">
      <c r="A32" s="148"/>
      <c r="B32" s="31"/>
      <c r="C32" s="32"/>
      <c r="D32" s="33"/>
      <c r="E32" s="33"/>
      <c r="F32" s="135" t="s">
        <v>115</v>
      </c>
      <c r="G32" s="40" t="s">
        <v>116</v>
      </c>
      <c r="H32" s="41" t="s">
        <v>117</v>
      </c>
      <c r="I32" s="42" t="s">
        <v>91</v>
      </c>
      <c r="J32" s="68" t="s">
        <v>92</v>
      </c>
      <c r="K32" s="35"/>
    </row>
    <row r="33" spans="1:11" ht="16.95" customHeight="1" x14ac:dyDescent="0.25">
      <c r="A33" s="133" t="s">
        <v>118</v>
      </c>
      <c r="B33" s="40" t="s">
        <v>119</v>
      </c>
      <c r="C33" s="41" t="s">
        <v>120</v>
      </c>
      <c r="D33" s="42" t="s">
        <v>16</v>
      </c>
      <c r="E33" s="42" t="s">
        <v>17</v>
      </c>
      <c r="F33" s="150"/>
      <c r="G33" s="31"/>
      <c r="H33" s="32"/>
      <c r="I33" s="33"/>
      <c r="J33" s="62"/>
      <c r="K33" s="61"/>
    </row>
    <row r="34" spans="1:11" s="39" customFormat="1" ht="19.95" customHeight="1" x14ac:dyDescent="0.3">
      <c r="A34" s="148"/>
      <c r="B34" s="31"/>
      <c r="C34" s="32"/>
      <c r="D34" s="33"/>
      <c r="E34" s="33"/>
      <c r="F34" s="149" t="s">
        <v>121</v>
      </c>
      <c r="G34" s="40" t="s">
        <v>122</v>
      </c>
      <c r="H34" s="41" t="s">
        <v>123</v>
      </c>
      <c r="I34" s="42" t="s">
        <v>91</v>
      </c>
      <c r="J34" s="63" t="s">
        <v>92</v>
      </c>
      <c r="K34" s="35"/>
    </row>
    <row r="35" spans="1:11" ht="16.95" customHeight="1" thickBot="1" x14ac:dyDescent="0.3">
      <c r="A35" s="133" t="s">
        <v>124</v>
      </c>
      <c r="B35" s="40" t="s">
        <v>125</v>
      </c>
      <c r="C35" s="41" t="s">
        <v>126</v>
      </c>
      <c r="D35" s="42" t="s">
        <v>16</v>
      </c>
      <c r="E35" s="42" t="s">
        <v>17</v>
      </c>
      <c r="F35" s="136"/>
      <c r="G35" s="55"/>
      <c r="H35" s="56"/>
      <c r="I35" s="33"/>
      <c r="J35" s="65"/>
      <c r="K35" s="61"/>
    </row>
    <row r="36" spans="1:11" s="39" customFormat="1" ht="19.95" customHeight="1" thickTop="1" thickBot="1" x14ac:dyDescent="0.35">
      <c r="A36" s="148"/>
      <c r="B36" s="31"/>
      <c r="C36" s="32"/>
      <c r="D36" s="33"/>
      <c r="E36" s="33"/>
      <c r="F36" s="69"/>
      <c r="G36" s="70" t="s">
        <v>7</v>
      </c>
      <c r="H36" s="71" t="s">
        <v>8</v>
      </c>
      <c r="I36" s="131" t="s">
        <v>127</v>
      </c>
      <c r="J36" s="132"/>
      <c r="K36" s="35"/>
    </row>
    <row r="37" spans="1:11" ht="16.95" customHeight="1" x14ac:dyDescent="0.25">
      <c r="A37" s="133" t="s">
        <v>128</v>
      </c>
      <c r="B37" s="40" t="s">
        <v>129</v>
      </c>
      <c r="C37" s="41" t="s">
        <v>130</v>
      </c>
      <c r="D37" s="42" t="s">
        <v>16</v>
      </c>
      <c r="E37" s="42" t="s">
        <v>17</v>
      </c>
      <c r="F37" s="135" t="s">
        <v>131</v>
      </c>
      <c r="G37" s="40" t="s">
        <v>132</v>
      </c>
      <c r="H37" s="41" t="s">
        <v>133</v>
      </c>
      <c r="I37" s="42" t="s">
        <v>91</v>
      </c>
      <c r="J37" s="68" t="s">
        <v>92</v>
      </c>
      <c r="K37" s="61"/>
    </row>
    <row r="38" spans="1:11" s="39" customFormat="1" ht="19.95" customHeight="1" thickBot="1" x14ac:dyDescent="0.35">
      <c r="A38" s="134"/>
      <c r="B38" s="72"/>
      <c r="C38" s="73"/>
      <c r="D38" s="33"/>
      <c r="E38" s="33"/>
      <c r="F38" s="136"/>
      <c r="G38" s="55"/>
      <c r="H38" s="56"/>
      <c r="I38" s="33"/>
      <c r="J38" s="65"/>
      <c r="K38" s="35"/>
    </row>
    <row r="39" spans="1:11" ht="14.4" thickTop="1" thickBot="1" x14ac:dyDescent="0.3">
      <c r="A39" s="137" t="s">
        <v>134</v>
      </c>
      <c r="B39" s="138"/>
      <c r="C39" s="138"/>
      <c r="D39" s="138"/>
      <c r="E39" s="139"/>
      <c r="F39" s="74"/>
      <c r="G39" s="75" t="s">
        <v>7</v>
      </c>
      <c r="H39" s="76" t="s">
        <v>8</v>
      </c>
      <c r="I39" s="146" t="s">
        <v>135</v>
      </c>
      <c r="J39" s="147"/>
      <c r="K39" s="61"/>
    </row>
    <row r="40" spans="1:11" ht="16.95" customHeight="1" x14ac:dyDescent="0.25">
      <c r="A40" s="140"/>
      <c r="B40" s="141"/>
      <c r="C40" s="141"/>
      <c r="D40" s="141"/>
      <c r="E40" s="142"/>
      <c r="F40" s="135" t="s">
        <v>136</v>
      </c>
      <c r="G40" s="77" t="s">
        <v>137</v>
      </c>
      <c r="H40" s="78" t="s">
        <v>138</v>
      </c>
      <c r="I40" s="79" t="s">
        <v>91</v>
      </c>
      <c r="J40" s="80" t="s">
        <v>92</v>
      </c>
      <c r="K40" s="61"/>
    </row>
    <row r="41" spans="1:11" s="39" customFormat="1" ht="19.95" customHeight="1" thickBot="1" x14ac:dyDescent="0.35">
      <c r="A41" s="143"/>
      <c r="B41" s="144"/>
      <c r="C41" s="144"/>
      <c r="D41" s="144"/>
      <c r="E41" s="145"/>
      <c r="F41" s="136"/>
      <c r="G41" s="55"/>
      <c r="H41" s="56"/>
      <c r="I41" s="56"/>
      <c r="J41" s="81"/>
      <c r="K41" s="82"/>
    </row>
    <row r="42" spans="1:11" ht="13.8" thickTop="1" x14ac:dyDescent="0.25"/>
  </sheetData>
  <mergeCells count="47">
    <mergeCell ref="A8:A9"/>
    <mergeCell ref="F8:F9"/>
    <mergeCell ref="B2:F2"/>
    <mergeCell ref="G2:J2"/>
    <mergeCell ref="L2:P2"/>
    <mergeCell ref="B3:F3"/>
    <mergeCell ref="G3:J3"/>
    <mergeCell ref="L3:P3"/>
    <mergeCell ref="A4:J4"/>
    <mergeCell ref="D5:E5"/>
    <mergeCell ref="I5:J5"/>
    <mergeCell ref="A6:A7"/>
    <mergeCell ref="F6:F7"/>
    <mergeCell ref="A10:A11"/>
    <mergeCell ref="F10:F11"/>
    <mergeCell ref="A12:A13"/>
    <mergeCell ref="F12:F13"/>
    <mergeCell ref="A14:A15"/>
    <mergeCell ref="F14:F15"/>
    <mergeCell ref="A16:A17"/>
    <mergeCell ref="F16:F17"/>
    <mergeCell ref="A18:A19"/>
    <mergeCell ref="F18:F19"/>
    <mergeCell ref="A20:A21"/>
    <mergeCell ref="F20:F21"/>
    <mergeCell ref="D22:E22"/>
    <mergeCell ref="I22:J22"/>
    <mergeCell ref="A23:A24"/>
    <mergeCell ref="F23:F24"/>
    <mergeCell ref="A25:A26"/>
    <mergeCell ref="F25:F26"/>
    <mergeCell ref="I31:J31"/>
    <mergeCell ref="F32:F33"/>
    <mergeCell ref="A33:A34"/>
    <mergeCell ref="F34:F35"/>
    <mergeCell ref="A35:A36"/>
    <mergeCell ref="A27:A28"/>
    <mergeCell ref="F27:F28"/>
    <mergeCell ref="A29:A30"/>
    <mergeCell ref="F29:F30"/>
    <mergeCell ref="A31:A32"/>
    <mergeCell ref="I36:J36"/>
    <mergeCell ref="A37:A38"/>
    <mergeCell ref="F37:F38"/>
    <mergeCell ref="A39:E41"/>
    <mergeCell ref="I39:J39"/>
    <mergeCell ref="F40:F41"/>
  </mergeCells>
  <printOptions horizontalCentered="1"/>
  <pageMargins left="0" right="0" top="0" bottom="0" header="0.31496062992125984" footer="0.31496062992125984"/>
  <pageSetup scale="95" fitToHeight="2" orientation="portrait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5862-ADD9-40AB-AE9A-A44AB36F4A35}">
  <dimension ref="A1:D85"/>
  <sheetViews>
    <sheetView topLeftCell="A56" zoomScale="115" zoomScaleNormal="115" workbookViewId="0">
      <selection activeCell="A11" activeCellId="11" sqref="F6:F7 F10:F11 I6 I11 L6 L11 O6 O11 R6 R11 A5:C6 A11:C12"/>
    </sheetView>
  </sheetViews>
  <sheetFormatPr baseColWidth="10" defaultRowHeight="13.2" x14ac:dyDescent="0.25"/>
  <cols>
    <col min="1" max="1" width="5.44140625" bestFit="1" customWidth="1"/>
    <col min="2" max="2" width="33.109375" bestFit="1" customWidth="1"/>
    <col min="3" max="4" width="12.109375" bestFit="1" customWidth="1"/>
  </cols>
  <sheetData>
    <row r="1" spans="1:4" ht="15.6" x14ac:dyDescent="0.3">
      <c r="A1" s="174" t="s">
        <v>139</v>
      </c>
      <c r="B1" s="175"/>
      <c r="C1" s="175"/>
      <c r="D1" s="176"/>
    </row>
    <row r="2" spans="1:4" x14ac:dyDescent="0.25">
      <c r="A2" s="84"/>
      <c r="B2" s="85"/>
      <c r="C2" s="86" t="s">
        <v>140</v>
      </c>
      <c r="D2" s="87" t="s">
        <v>141</v>
      </c>
    </row>
    <row r="3" spans="1:4" x14ac:dyDescent="0.25">
      <c r="A3" s="84"/>
      <c r="B3" s="85"/>
      <c r="C3" s="86" t="s">
        <v>142</v>
      </c>
      <c r="D3" s="87" t="s">
        <v>143</v>
      </c>
    </row>
    <row r="4" spans="1:4" ht="16.2" thickBot="1" x14ac:dyDescent="0.35">
      <c r="A4" s="88"/>
      <c r="B4" s="177" t="s">
        <v>144</v>
      </c>
      <c r="C4" s="177"/>
      <c r="D4" s="89">
        <f>SUM(D13,D18,D22,D27,D31,D34,D38,D41,D45,D48,D52,D56,D64,D70)</f>
        <v>3900</v>
      </c>
    </row>
    <row r="5" spans="1:4" ht="15.75" customHeight="1" x14ac:dyDescent="0.3">
      <c r="A5" s="178" t="s">
        <v>145</v>
      </c>
      <c r="B5" s="179"/>
      <c r="C5" s="180"/>
      <c r="D5" s="90">
        <f>D18+D27+D34+D41+D48+D52</f>
        <v>1430</v>
      </c>
    </row>
    <row r="6" spans="1:4" ht="16.5" customHeight="1" thickBot="1" x14ac:dyDescent="0.35">
      <c r="A6" s="181"/>
      <c r="B6" s="182"/>
      <c r="C6" s="183"/>
      <c r="D6" s="91">
        <f>D5/D$4</f>
        <v>0.36666666666666664</v>
      </c>
    </row>
    <row r="7" spans="1:4" ht="15.75" customHeight="1" x14ac:dyDescent="0.3">
      <c r="A7" s="178" t="s">
        <v>146</v>
      </c>
      <c r="B7" s="179"/>
      <c r="C7" s="180"/>
      <c r="D7" s="90">
        <f>D13+D22+D31+D38+D56+D45</f>
        <v>1720</v>
      </c>
    </row>
    <row r="8" spans="1:4" ht="16.5" customHeight="1" thickBot="1" x14ac:dyDescent="0.35">
      <c r="A8" s="181"/>
      <c r="B8" s="182"/>
      <c r="C8" s="183"/>
      <c r="D8" s="91">
        <f>D7/D$4</f>
        <v>0.44102564102564101</v>
      </c>
    </row>
    <row r="9" spans="1:4" ht="15.75" customHeight="1" x14ac:dyDescent="0.3">
      <c r="A9" s="178" t="s">
        <v>147</v>
      </c>
      <c r="B9" s="179"/>
      <c r="C9" s="180"/>
      <c r="D9" s="90">
        <f>D64</f>
        <v>250</v>
      </c>
    </row>
    <row r="10" spans="1:4" ht="16.5" customHeight="1" thickBot="1" x14ac:dyDescent="0.35">
      <c r="A10" s="181"/>
      <c r="B10" s="182"/>
      <c r="C10" s="183"/>
      <c r="D10" s="91">
        <f>D9/$D$4</f>
        <v>6.4102564102564097E-2</v>
      </c>
    </row>
    <row r="11" spans="1:4" ht="15.75" customHeight="1" x14ac:dyDescent="0.3">
      <c r="A11" s="178" t="s">
        <v>82</v>
      </c>
      <c r="B11" s="179"/>
      <c r="C11" s="180"/>
      <c r="D11" s="90">
        <f>D70</f>
        <v>500</v>
      </c>
    </row>
    <row r="12" spans="1:4" ht="16.5" customHeight="1" thickBot="1" x14ac:dyDescent="0.35">
      <c r="A12" s="181"/>
      <c r="B12" s="182"/>
      <c r="C12" s="183"/>
      <c r="D12" s="91">
        <f>D11/D4</f>
        <v>0.12820512820512819</v>
      </c>
    </row>
    <row r="13" spans="1:4" ht="16.05" customHeight="1" x14ac:dyDescent="0.25">
      <c r="A13" s="171" t="s">
        <v>148</v>
      </c>
      <c r="B13" s="165" t="s">
        <v>149</v>
      </c>
      <c r="C13" s="165"/>
      <c r="D13" s="92">
        <f>C14*16</f>
        <v>640</v>
      </c>
    </row>
    <row r="14" spans="1:4" ht="12.75" customHeight="1" x14ac:dyDescent="0.25">
      <c r="A14" s="172"/>
      <c r="B14" s="93" t="s">
        <v>150</v>
      </c>
      <c r="C14" s="94">
        <v>40</v>
      </c>
      <c r="D14" s="166">
        <f>D13/$D$4</f>
        <v>0.1641025641025641</v>
      </c>
    </row>
    <row r="15" spans="1:4" ht="13.5" customHeight="1" x14ac:dyDescent="0.25">
      <c r="A15" s="172"/>
      <c r="B15" s="93" t="s">
        <v>151</v>
      </c>
      <c r="C15" s="94">
        <v>25</v>
      </c>
      <c r="D15" s="167"/>
    </row>
    <row r="16" spans="1:4" ht="12.75" customHeight="1" x14ac:dyDescent="0.25">
      <c r="A16" s="172"/>
      <c r="B16" s="93" t="s">
        <v>152</v>
      </c>
      <c r="C16" s="94">
        <v>20</v>
      </c>
      <c r="D16" s="167"/>
    </row>
    <row r="17" spans="1:4" ht="12.75" customHeight="1" thickBot="1" x14ac:dyDescent="0.3">
      <c r="A17" s="172"/>
      <c r="B17" s="95" t="s">
        <v>153</v>
      </c>
      <c r="C17" s="96">
        <v>15</v>
      </c>
      <c r="D17" s="170"/>
    </row>
    <row r="18" spans="1:4" ht="12.75" customHeight="1" x14ac:dyDescent="0.25">
      <c r="A18" s="172"/>
      <c r="B18" s="165" t="s">
        <v>154</v>
      </c>
      <c r="C18" s="165"/>
      <c r="D18" s="92">
        <f>C19*16</f>
        <v>640</v>
      </c>
    </row>
    <row r="19" spans="1:4" ht="13.5" customHeight="1" x14ac:dyDescent="0.25">
      <c r="A19" s="172"/>
      <c r="B19" s="93" t="s">
        <v>155</v>
      </c>
      <c r="C19" s="94">
        <v>40</v>
      </c>
      <c r="D19" s="166">
        <f>D18/$D$4</f>
        <v>0.1641025641025641</v>
      </c>
    </row>
    <row r="20" spans="1:4" ht="12.75" customHeight="1" x14ac:dyDescent="0.25">
      <c r="A20" s="172"/>
      <c r="B20" s="93" t="s">
        <v>156</v>
      </c>
      <c r="C20" s="94">
        <v>18</v>
      </c>
      <c r="D20" s="167"/>
    </row>
    <row r="21" spans="1:4" ht="13.5" customHeight="1" thickBot="1" x14ac:dyDescent="0.3">
      <c r="A21" s="173"/>
      <c r="B21" s="95" t="s">
        <v>157</v>
      </c>
      <c r="C21" s="96">
        <v>12</v>
      </c>
      <c r="D21" s="170"/>
    </row>
    <row r="22" spans="1:4" ht="13.5" customHeight="1" x14ac:dyDescent="0.25">
      <c r="A22" s="171" t="s">
        <v>158</v>
      </c>
      <c r="B22" s="165" t="s">
        <v>159</v>
      </c>
      <c r="C22" s="165"/>
      <c r="D22" s="92">
        <f>C23*8</f>
        <v>280</v>
      </c>
    </row>
    <row r="23" spans="1:4" ht="12.75" customHeight="1" x14ac:dyDescent="0.25">
      <c r="A23" s="172"/>
      <c r="B23" s="93" t="s">
        <v>160</v>
      </c>
      <c r="C23" s="94">
        <v>35</v>
      </c>
      <c r="D23" s="166">
        <f>D22/$D$4</f>
        <v>7.179487179487179E-2</v>
      </c>
    </row>
    <row r="24" spans="1:4" ht="12.75" customHeight="1" x14ac:dyDescent="0.25">
      <c r="A24" s="172"/>
      <c r="B24" s="93" t="s">
        <v>161</v>
      </c>
      <c r="C24" s="94">
        <v>25</v>
      </c>
      <c r="D24" s="167"/>
    </row>
    <row r="25" spans="1:4" ht="13.5" customHeight="1" x14ac:dyDescent="0.25">
      <c r="A25" s="172"/>
      <c r="B25" s="93" t="s">
        <v>152</v>
      </c>
      <c r="C25" s="94">
        <v>18</v>
      </c>
      <c r="D25" s="167"/>
    </row>
    <row r="26" spans="1:4" ht="13.5" customHeight="1" thickBot="1" x14ac:dyDescent="0.3">
      <c r="A26" s="172"/>
      <c r="B26" s="95" t="s">
        <v>153</v>
      </c>
      <c r="C26" s="96">
        <v>12</v>
      </c>
      <c r="D26" s="170"/>
    </row>
    <row r="27" spans="1:4" ht="12.75" customHeight="1" x14ac:dyDescent="0.25">
      <c r="A27" s="172"/>
      <c r="B27" s="165" t="s">
        <v>162</v>
      </c>
      <c r="C27" s="165"/>
      <c r="D27" s="92">
        <f>C28*8</f>
        <v>320</v>
      </c>
    </row>
    <row r="28" spans="1:4" ht="12.75" customHeight="1" x14ac:dyDescent="0.25">
      <c r="A28" s="172"/>
      <c r="B28" s="93" t="s">
        <v>155</v>
      </c>
      <c r="C28" s="94">
        <v>40</v>
      </c>
      <c r="D28" s="166">
        <f>D27/$D$4</f>
        <v>8.2051282051282051E-2</v>
      </c>
    </row>
    <row r="29" spans="1:4" ht="13.5" customHeight="1" x14ac:dyDescent="0.25">
      <c r="A29" s="172"/>
      <c r="B29" s="93" t="s">
        <v>156</v>
      </c>
      <c r="C29" s="94">
        <v>18</v>
      </c>
      <c r="D29" s="167"/>
    </row>
    <row r="30" spans="1:4" ht="12.75" customHeight="1" thickBot="1" x14ac:dyDescent="0.3">
      <c r="A30" s="173"/>
      <c r="B30" s="95" t="s">
        <v>157</v>
      </c>
      <c r="C30" s="96">
        <v>12</v>
      </c>
      <c r="D30" s="170"/>
    </row>
    <row r="31" spans="1:4" ht="12.75" customHeight="1" x14ac:dyDescent="0.25">
      <c r="A31" s="171" t="s">
        <v>163</v>
      </c>
      <c r="B31" s="165" t="s">
        <v>164</v>
      </c>
      <c r="C31" s="165"/>
      <c r="D31" s="92">
        <f>C32*8</f>
        <v>240</v>
      </c>
    </row>
    <row r="32" spans="1:4" ht="13.5" customHeight="1" x14ac:dyDescent="0.25">
      <c r="A32" s="172"/>
      <c r="B32" s="93" t="s">
        <v>165</v>
      </c>
      <c r="C32" s="94">
        <v>30</v>
      </c>
      <c r="D32" s="166">
        <f>D31/$D$4</f>
        <v>6.1538461538461542E-2</v>
      </c>
    </row>
    <row r="33" spans="1:4" ht="13.8" customHeight="1" thickBot="1" x14ac:dyDescent="0.3">
      <c r="A33" s="172"/>
      <c r="B33" s="95" t="s">
        <v>166</v>
      </c>
      <c r="C33" s="96">
        <v>20</v>
      </c>
      <c r="D33" s="170"/>
    </row>
    <row r="34" spans="1:4" ht="13.2" customHeight="1" x14ac:dyDescent="0.25">
      <c r="A34" s="172"/>
      <c r="B34" s="165" t="s">
        <v>167</v>
      </c>
      <c r="C34" s="165"/>
      <c r="D34" s="92">
        <f>C35*4</f>
        <v>200</v>
      </c>
    </row>
    <row r="35" spans="1:4" ht="13.5" customHeight="1" x14ac:dyDescent="0.25">
      <c r="A35" s="172"/>
      <c r="B35" s="93" t="s">
        <v>155</v>
      </c>
      <c r="C35" s="94">
        <v>50</v>
      </c>
      <c r="D35" s="166">
        <f>D34/$D$4</f>
        <v>5.128205128205128E-2</v>
      </c>
    </row>
    <row r="36" spans="1:4" ht="13.5" customHeight="1" x14ac:dyDescent="0.25">
      <c r="A36" s="172"/>
      <c r="B36" s="93" t="s">
        <v>156</v>
      </c>
      <c r="C36" s="94">
        <v>30</v>
      </c>
      <c r="D36" s="167"/>
    </row>
    <row r="37" spans="1:4" ht="12.75" customHeight="1" thickBot="1" x14ac:dyDescent="0.3">
      <c r="A37" s="173"/>
      <c r="B37" s="95" t="s">
        <v>157</v>
      </c>
      <c r="C37" s="96">
        <v>14</v>
      </c>
      <c r="D37" s="170"/>
    </row>
    <row r="38" spans="1:4" ht="12.75" customHeight="1" x14ac:dyDescent="0.25">
      <c r="A38" s="171" t="s">
        <v>168</v>
      </c>
      <c r="B38" s="165" t="s">
        <v>169</v>
      </c>
      <c r="C38" s="165"/>
      <c r="D38" s="92">
        <f>C39*4</f>
        <v>160</v>
      </c>
    </row>
    <row r="39" spans="1:4" ht="12.75" customHeight="1" x14ac:dyDescent="0.25">
      <c r="A39" s="172"/>
      <c r="B39" s="93" t="s">
        <v>165</v>
      </c>
      <c r="C39" s="94">
        <v>40</v>
      </c>
      <c r="D39" s="166">
        <f>D38/$D$4</f>
        <v>4.1025641025641026E-2</v>
      </c>
    </row>
    <row r="40" spans="1:4" ht="13.5" customHeight="1" thickBot="1" x14ac:dyDescent="0.3">
      <c r="A40" s="172"/>
      <c r="B40" s="95" t="s">
        <v>166</v>
      </c>
      <c r="C40" s="96">
        <v>30</v>
      </c>
      <c r="D40" s="170"/>
    </row>
    <row r="41" spans="1:4" ht="12.75" customHeight="1" x14ac:dyDescent="0.25">
      <c r="A41" s="172"/>
      <c r="B41" s="165" t="s">
        <v>170</v>
      </c>
      <c r="C41" s="165"/>
      <c r="D41" s="92">
        <f>C42*2</f>
        <v>120</v>
      </c>
    </row>
    <row r="42" spans="1:4" ht="12.75" customHeight="1" x14ac:dyDescent="0.25">
      <c r="A42" s="172"/>
      <c r="B42" s="93" t="s">
        <v>155</v>
      </c>
      <c r="C42" s="94">
        <v>60</v>
      </c>
      <c r="D42" s="166">
        <f>D41/$D$4</f>
        <v>3.0769230769230771E-2</v>
      </c>
    </row>
    <row r="43" spans="1:4" ht="13.5" customHeight="1" x14ac:dyDescent="0.25">
      <c r="A43" s="172"/>
      <c r="B43" s="93" t="s">
        <v>156</v>
      </c>
      <c r="C43" s="94">
        <v>40</v>
      </c>
      <c r="D43" s="167"/>
    </row>
    <row r="44" spans="1:4" ht="13.8" customHeight="1" thickBot="1" x14ac:dyDescent="0.3">
      <c r="A44" s="173"/>
      <c r="B44" s="95" t="s">
        <v>157</v>
      </c>
      <c r="C44" s="96">
        <v>15</v>
      </c>
      <c r="D44" s="170"/>
    </row>
    <row r="45" spans="1:4" ht="12.75" customHeight="1" x14ac:dyDescent="0.25">
      <c r="A45" s="171" t="s">
        <v>171</v>
      </c>
      <c r="B45" s="165" t="s">
        <v>172</v>
      </c>
      <c r="C45" s="165"/>
      <c r="D45" s="92">
        <f>C46*2+C47*2</f>
        <v>190</v>
      </c>
    </row>
    <row r="46" spans="1:4" ht="12.75" customHeight="1" x14ac:dyDescent="0.25">
      <c r="A46" s="172"/>
      <c r="B46" s="93" t="s">
        <v>173</v>
      </c>
      <c r="C46" s="94">
        <v>55</v>
      </c>
      <c r="D46" s="166">
        <f>D45/$D$4</f>
        <v>4.8717948717948718E-2</v>
      </c>
    </row>
    <row r="47" spans="1:4" ht="12.75" customHeight="1" thickBot="1" x14ac:dyDescent="0.3">
      <c r="A47" s="172"/>
      <c r="B47" s="95" t="s">
        <v>174</v>
      </c>
      <c r="C47" s="96">
        <v>40</v>
      </c>
      <c r="D47" s="170"/>
    </row>
    <row r="48" spans="1:4" ht="15" customHeight="1" x14ac:dyDescent="0.25">
      <c r="A48" s="172"/>
      <c r="B48" s="165" t="s">
        <v>175</v>
      </c>
      <c r="C48" s="165"/>
      <c r="D48" s="92">
        <f>C49</f>
        <v>70</v>
      </c>
    </row>
    <row r="49" spans="1:4" ht="12.75" customHeight="1" x14ac:dyDescent="0.25">
      <c r="A49" s="172"/>
      <c r="B49" s="93" t="s">
        <v>155</v>
      </c>
      <c r="C49" s="94">
        <v>70</v>
      </c>
      <c r="D49" s="166">
        <f>D48/$D$4</f>
        <v>1.7948717948717947E-2</v>
      </c>
    </row>
    <row r="50" spans="1:4" ht="12.75" customHeight="1" x14ac:dyDescent="0.25">
      <c r="A50" s="172"/>
      <c r="B50" s="93" t="s">
        <v>156</v>
      </c>
      <c r="C50" s="94">
        <v>48</v>
      </c>
      <c r="D50" s="167"/>
    </row>
    <row r="51" spans="1:4" ht="12.75" customHeight="1" thickBot="1" x14ac:dyDescent="0.3">
      <c r="A51" s="173"/>
      <c r="B51" s="95" t="s">
        <v>157</v>
      </c>
      <c r="C51" s="96">
        <v>20</v>
      </c>
      <c r="D51" s="170"/>
    </row>
    <row r="52" spans="1:4" x14ac:dyDescent="0.25">
      <c r="A52" s="162" t="s">
        <v>176</v>
      </c>
      <c r="B52" s="165" t="s">
        <v>177</v>
      </c>
      <c r="C52" s="165"/>
      <c r="D52" s="92">
        <f>C53</f>
        <v>80</v>
      </c>
    </row>
    <row r="53" spans="1:4" ht="12.75" customHeight="1" x14ac:dyDescent="0.25">
      <c r="A53" s="163"/>
      <c r="B53" s="93" t="s">
        <v>155</v>
      </c>
      <c r="C53" s="94">
        <v>80</v>
      </c>
      <c r="D53" s="166">
        <f>D52/$D$4</f>
        <v>2.0512820512820513E-2</v>
      </c>
    </row>
    <row r="54" spans="1:4" ht="12.75" customHeight="1" x14ac:dyDescent="0.25">
      <c r="A54" s="163"/>
      <c r="B54" s="93" t="s">
        <v>156</v>
      </c>
      <c r="C54" s="94">
        <f>ROUND(C53*60%,0)</f>
        <v>48</v>
      </c>
      <c r="D54" s="167"/>
    </row>
    <row r="55" spans="1:4" ht="12.75" customHeight="1" thickBot="1" x14ac:dyDescent="0.3">
      <c r="A55" s="169"/>
      <c r="B55" s="95" t="s">
        <v>157</v>
      </c>
      <c r="C55" s="96">
        <f>ROUND(C53*30%,0)</f>
        <v>24</v>
      </c>
      <c r="D55" s="170"/>
    </row>
    <row r="56" spans="1:4" ht="12.75" customHeight="1" x14ac:dyDescent="0.25">
      <c r="A56" s="162" t="s">
        <v>178</v>
      </c>
      <c r="B56" s="165" t="s">
        <v>179</v>
      </c>
      <c r="C56" s="165"/>
      <c r="D56" s="92">
        <v>210</v>
      </c>
    </row>
    <row r="57" spans="1:4" ht="12.75" customHeight="1" x14ac:dyDescent="0.25">
      <c r="A57" s="163"/>
      <c r="B57" s="93" t="s">
        <v>180</v>
      </c>
      <c r="C57" s="97">
        <v>210</v>
      </c>
      <c r="D57" s="166">
        <f>D56/$D$4</f>
        <v>5.3846153846153849E-2</v>
      </c>
    </row>
    <row r="58" spans="1:4" ht="13.5" customHeight="1" x14ac:dyDescent="0.25">
      <c r="A58" s="163"/>
      <c r="B58" s="93" t="s">
        <v>181</v>
      </c>
      <c r="C58" s="97">
        <v>120</v>
      </c>
      <c r="D58" s="167"/>
    </row>
    <row r="59" spans="1:4" ht="12.75" customHeight="1" x14ac:dyDescent="0.25">
      <c r="A59" s="163"/>
      <c r="B59" s="93" t="s">
        <v>182</v>
      </c>
      <c r="C59" s="97">
        <v>80</v>
      </c>
      <c r="D59" s="167"/>
    </row>
    <row r="60" spans="1:4" x14ac:dyDescent="0.25">
      <c r="A60" s="163"/>
      <c r="B60" s="93" t="s">
        <v>183</v>
      </c>
      <c r="C60" s="97">
        <v>60</v>
      </c>
      <c r="D60" s="167"/>
    </row>
    <row r="61" spans="1:4" ht="12.75" customHeight="1" x14ac:dyDescent="0.25">
      <c r="A61" s="163"/>
      <c r="B61" s="93" t="s">
        <v>184</v>
      </c>
      <c r="C61" s="97">
        <v>40</v>
      </c>
      <c r="D61" s="167"/>
    </row>
    <row r="62" spans="1:4" ht="12.75" customHeight="1" x14ac:dyDescent="0.25">
      <c r="A62" s="163"/>
      <c r="B62" s="93" t="s">
        <v>185</v>
      </c>
      <c r="C62" s="97">
        <v>30</v>
      </c>
      <c r="D62" s="167"/>
    </row>
    <row r="63" spans="1:4" ht="12.75" customHeight="1" thickBot="1" x14ac:dyDescent="0.3">
      <c r="A63" s="169"/>
      <c r="B63" s="95" t="s">
        <v>186</v>
      </c>
      <c r="C63" s="98">
        <v>25</v>
      </c>
      <c r="D63" s="170"/>
    </row>
    <row r="64" spans="1:4" ht="13.5" customHeight="1" x14ac:dyDescent="0.25">
      <c r="A64" s="162" t="s">
        <v>187</v>
      </c>
      <c r="B64" s="165" t="s">
        <v>147</v>
      </c>
      <c r="C64" s="165"/>
      <c r="D64" s="92">
        <f>SUM(C65:C69)</f>
        <v>250</v>
      </c>
    </row>
    <row r="65" spans="1:4" ht="12.75" customHeight="1" x14ac:dyDescent="0.25">
      <c r="A65" s="163"/>
      <c r="B65" s="93" t="s">
        <v>188</v>
      </c>
      <c r="C65" s="97">
        <v>40</v>
      </c>
      <c r="D65" s="166">
        <f>D64/$D$4</f>
        <v>6.4102564102564097E-2</v>
      </c>
    </row>
    <row r="66" spans="1:4" ht="12.75" customHeight="1" x14ac:dyDescent="0.25">
      <c r="A66" s="163"/>
      <c r="B66" s="93" t="s">
        <v>189</v>
      </c>
      <c r="C66" s="97">
        <v>40</v>
      </c>
      <c r="D66" s="167"/>
    </row>
    <row r="67" spans="1:4" ht="12.75" customHeight="1" x14ac:dyDescent="0.25">
      <c r="A67" s="163"/>
      <c r="B67" s="93" t="s">
        <v>190</v>
      </c>
      <c r="C67" s="97">
        <v>50</v>
      </c>
      <c r="D67" s="167"/>
    </row>
    <row r="68" spans="1:4" ht="12.75" customHeight="1" x14ac:dyDescent="0.25">
      <c r="A68" s="163"/>
      <c r="B68" s="93" t="s">
        <v>191</v>
      </c>
      <c r="C68" s="97">
        <v>50</v>
      </c>
      <c r="D68" s="167"/>
    </row>
    <row r="69" spans="1:4" ht="12.75" customHeight="1" thickBot="1" x14ac:dyDescent="0.3">
      <c r="A69" s="169"/>
      <c r="B69" s="95" t="s">
        <v>192</v>
      </c>
      <c r="C69" s="98">
        <v>70</v>
      </c>
      <c r="D69" s="170"/>
    </row>
    <row r="70" spans="1:4" ht="12.75" customHeight="1" x14ac:dyDescent="0.25">
      <c r="A70" s="162" t="s">
        <v>193</v>
      </c>
      <c r="B70" s="165" t="s">
        <v>194</v>
      </c>
      <c r="C70" s="165"/>
      <c r="D70" s="92">
        <f>SUM(C71:C84)</f>
        <v>500</v>
      </c>
    </row>
    <row r="71" spans="1:4" ht="12.75" customHeight="1" x14ac:dyDescent="0.25">
      <c r="A71" s="163"/>
      <c r="B71" s="85" t="s">
        <v>22</v>
      </c>
      <c r="C71" s="94">
        <v>100</v>
      </c>
      <c r="D71" s="166">
        <f>D70/$D$4</f>
        <v>0.12820512820512819</v>
      </c>
    </row>
    <row r="72" spans="1:4" ht="13.5" customHeight="1" x14ac:dyDescent="0.25">
      <c r="A72" s="163"/>
      <c r="B72" s="93" t="s">
        <v>24</v>
      </c>
      <c r="C72" s="94">
        <v>50</v>
      </c>
      <c r="D72" s="167"/>
    </row>
    <row r="73" spans="1:4" ht="13.5" customHeight="1" x14ac:dyDescent="0.25">
      <c r="A73" s="163"/>
      <c r="B73" s="93" t="s">
        <v>32</v>
      </c>
      <c r="C73" s="94">
        <v>50</v>
      </c>
      <c r="D73" s="167"/>
    </row>
    <row r="74" spans="1:4" x14ac:dyDescent="0.25">
      <c r="A74" s="163"/>
      <c r="B74" s="85" t="s">
        <v>43</v>
      </c>
      <c r="C74" s="94">
        <v>40</v>
      </c>
      <c r="D74" s="167"/>
    </row>
    <row r="75" spans="1:4" x14ac:dyDescent="0.25">
      <c r="A75" s="163"/>
      <c r="B75" s="85" t="s">
        <v>50</v>
      </c>
      <c r="C75" s="94">
        <v>40</v>
      </c>
      <c r="D75" s="167"/>
    </row>
    <row r="76" spans="1:4" x14ac:dyDescent="0.25">
      <c r="A76" s="163"/>
      <c r="B76" s="93" t="s">
        <v>51</v>
      </c>
      <c r="C76" s="94">
        <v>30</v>
      </c>
      <c r="D76" s="167"/>
    </row>
    <row r="77" spans="1:4" x14ac:dyDescent="0.25">
      <c r="A77" s="163"/>
      <c r="B77" s="85" t="s">
        <v>58</v>
      </c>
      <c r="C77" s="94">
        <v>30</v>
      </c>
      <c r="D77" s="167"/>
    </row>
    <row r="78" spans="1:4" x14ac:dyDescent="0.25">
      <c r="A78" s="163"/>
      <c r="B78" s="85" t="s">
        <v>59</v>
      </c>
      <c r="C78" s="94">
        <v>30</v>
      </c>
      <c r="D78" s="167"/>
    </row>
    <row r="79" spans="1:4" x14ac:dyDescent="0.25">
      <c r="A79" s="163"/>
      <c r="B79" s="85" t="s">
        <v>66</v>
      </c>
      <c r="C79" s="94">
        <v>30</v>
      </c>
      <c r="D79" s="167"/>
    </row>
    <row r="80" spans="1:4" x14ac:dyDescent="0.25">
      <c r="A80" s="163"/>
      <c r="B80" s="85" t="s">
        <v>67</v>
      </c>
      <c r="C80" s="94">
        <v>30</v>
      </c>
      <c r="D80" s="167"/>
    </row>
    <row r="81" spans="1:4" x14ac:dyDescent="0.25">
      <c r="A81" s="163"/>
      <c r="B81" s="85" t="s">
        <v>34</v>
      </c>
      <c r="C81" s="94">
        <v>15</v>
      </c>
      <c r="D81" s="167"/>
    </row>
    <row r="82" spans="1:4" x14ac:dyDescent="0.25">
      <c r="A82" s="163"/>
      <c r="B82" s="85" t="s">
        <v>42</v>
      </c>
      <c r="C82" s="94">
        <v>15</v>
      </c>
      <c r="D82" s="167"/>
    </row>
    <row r="83" spans="1:4" x14ac:dyDescent="0.25">
      <c r="A83" s="163"/>
      <c r="B83" s="85" t="s">
        <v>74</v>
      </c>
      <c r="C83" s="94">
        <v>20</v>
      </c>
      <c r="D83" s="167"/>
    </row>
    <row r="84" spans="1:4" ht="13.8" thickBot="1" x14ac:dyDescent="0.3">
      <c r="A84" s="164"/>
      <c r="B84" s="99" t="s">
        <v>75</v>
      </c>
      <c r="C84" s="100">
        <v>20</v>
      </c>
      <c r="D84" s="168"/>
    </row>
    <row r="85" spans="1:4" ht="13.8" thickTop="1" x14ac:dyDescent="0.25"/>
  </sheetData>
  <mergeCells count="43">
    <mergeCell ref="A11:C12"/>
    <mergeCell ref="A1:D1"/>
    <mergeCell ref="B4:C4"/>
    <mergeCell ref="A5:C6"/>
    <mergeCell ref="A7:C8"/>
    <mergeCell ref="A9:C10"/>
    <mergeCell ref="A22:A30"/>
    <mergeCell ref="B22:C22"/>
    <mergeCell ref="D23:D26"/>
    <mergeCell ref="B27:C27"/>
    <mergeCell ref="D28:D30"/>
    <mergeCell ref="A13:A21"/>
    <mergeCell ref="B13:C13"/>
    <mergeCell ref="D14:D17"/>
    <mergeCell ref="B18:C18"/>
    <mergeCell ref="D19:D21"/>
    <mergeCell ref="A52:A55"/>
    <mergeCell ref="B52:C52"/>
    <mergeCell ref="D53:D55"/>
    <mergeCell ref="A31:A37"/>
    <mergeCell ref="B31:C31"/>
    <mergeCell ref="D32:D33"/>
    <mergeCell ref="B34:C34"/>
    <mergeCell ref="D35:D37"/>
    <mergeCell ref="A38:A44"/>
    <mergeCell ref="B38:C38"/>
    <mergeCell ref="D39:D40"/>
    <mergeCell ref="B41:C41"/>
    <mergeCell ref="D42:D44"/>
    <mergeCell ref="A45:A51"/>
    <mergeCell ref="B45:C45"/>
    <mergeCell ref="D46:D47"/>
    <mergeCell ref="B48:C48"/>
    <mergeCell ref="D49:D51"/>
    <mergeCell ref="A70:A84"/>
    <mergeCell ref="B70:C70"/>
    <mergeCell ref="D71:D84"/>
    <mergeCell ref="A56:A63"/>
    <mergeCell ref="B56:C56"/>
    <mergeCell ref="D57:D63"/>
    <mergeCell ref="A64:A69"/>
    <mergeCell ref="B64:C64"/>
    <mergeCell ref="D65:D69"/>
  </mergeCells>
  <printOptions horizontalCentered="1" verticalCentered="1"/>
  <pageMargins left="0" right="0" top="0" bottom="0" header="0" footer="0"/>
  <pageSetup scale="101" orientation="portrait" r:id="rId1"/>
  <rowBreaks count="1" manualBreakCount="1">
    <brk id="4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EBEB-CE61-48DF-8BF9-BE1DB05A8059}">
  <dimension ref="A1:U16"/>
  <sheetViews>
    <sheetView tabSelected="1" workbookViewId="0">
      <selection activeCell="S3" sqref="S3"/>
    </sheetView>
  </sheetViews>
  <sheetFormatPr baseColWidth="10" defaultRowHeight="13.2" x14ac:dyDescent="0.25"/>
  <cols>
    <col min="1" max="1" width="3.77734375" style="2" customWidth="1"/>
    <col min="2" max="2" width="12.77734375" style="2" customWidth="1"/>
    <col min="3" max="3" width="4.77734375" style="2" customWidth="1"/>
    <col min="4" max="4" width="3.77734375" style="2" customWidth="1"/>
    <col min="5" max="5" width="12.77734375" style="2" customWidth="1"/>
    <col min="6" max="6" width="4.77734375" style="2" customWidth="1"/>
    <col min="7" max="7" width="3.77734375" style="2" customWidth="1"/>
    <col min="8" max="8" width="12.77734375" style="2" customWidth="1"/>
    <col min="9" max="9" width="4.77734375" style="2" customWidth="1"/>
    <col min="10" max="10" width="3.77734375" style="2" customWidth="1"/>
    <col min="11" max="11" width="12.77734375" style="2" customWidth="1"/>
    <col min="12" max="12" width="4.77734375" style="2" customWidth="1"/>
    <col min="13" max="13" width="3.77734375" style="2" customWidth="1"/>
    <col min="14" max="14" width="12.77734375" style="2" customWidth="1"/>
    <col min="15" max="15" width="4.77734375" style="2" customWidth="1"/>
    <col min="16" max="16" width="3.77734375" style="2" customWidth="1"/>
    <col min="17" max="17" width="12.77734375" style="2" customWidth="1"/>
    <col min="18" max="18" width="4.77734375" style="2" customWidth="1"/>
    <col min="19" max="16384" width="11.5546875" style="2"/>
  </cols>
  <sheetData>
    <row r="1" spans="1:21" ht="21.9" customHeight="1" thickTop="1" thickBot="1" x14ac:dyDescent="0.3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3"/>
    </row>
    <row r="2" spans="1:21" ht="21.9" customHeight="1" thickBot="1" x14ac:dyDescent="0.3">
      <c r="A2" s="101" t="s">
        <v>195</v>
      </c>
      <c r="B2" s="102"/>
      <c r="C2" s="103"/>
      <c r="D2" s="102"/>
      <c r="E2" s="102"/>
      <c r="F2" s="102" t="s">
        <v>2</v>
      </c>
      <c r="G2" s="102"/>
      <c r="H2" s="102"/>
      <c r="I2" s="124"/>
      <c r="J2" s="124"/>
      <c r="K2" s="124"/>
      <c r="L2" s="124"/>
      <c r="M2" s="125"/>
    </row>
    <row r="3" spans="1:21" ht="25.8" thickBot="1" x14ac:dyDescent="0.3">
      <c r="A3" s="126" t="s">
        <v>4</v>
      </c>
      <c r="B3" s="127"/>
      <c r="C3" s="128"/>
      <c r="D3" s="128"/>
      <c r="E3" s="128"/>
      <c r="F3" s="104" t="s">
        <v>5</v>
      </c>
      <c r="G3" s="104"/>
      <c r="H3" s="127"/>
      <c r="I3" s="127"/>
      <c r="J3" s="127"/>
      <c r="K3" s="127"/>
      <c r="L3" s="127"/>
      <c r="M3" s="129"/>
    </row>
    <row r="4" spans="1:21" ht="13.8" thickTop="1" x14ac:dyDescent="0.25"/>
    <row r="5" spans="1:21" ht="13.8" thickBot="1" x14ac:dyDescent="0.3"/>
    <row r="6" spans="1:21" ht="25.05" customHeight="1" thickTop="1" thickBot="1" x14ac:dyDescent="0.3">
      <c r="A6" s="105" t="s">
        <v>196</v>
      </c>
      <c r="B6" s="106" t="s">
        <v>197</v>
      </c>
      <c r="C6" s="107" t="s">
        <v>198</v>
      </c>
      <c r="D6" s="105" t="s">
        <v>196</v>
      </c>
      <c r="E6" s="106" t="s">
        <v>199</v>
      </c>
      <c r="F6" s="107" t="s">
        <v>198</v>
      </c>
      <c r="G6" s="105" t="s">
        <v>196</v>
      </c>
      <c r="H6" s="106" t="s">
        <v>200</v>
      </c>
      <c r="I6" s="107" t="s">
        <v>198</v>
      </c>
      <c r="J6" s="105" t="s">
        <v>196</v>
      </c>
      <c r="K6" s="106" t="s">
        <v>201</v>
      </c>
      <c r="L6" s="107" t="s">
        <v>198</v>
      </c>
      <c r="M6" s="105" t="s">
        <v>196</v>
      </c>
      <c r="N6" s="106" t="s">
        <v>202</v>
      </c>
      <c r="O6" s="107" t="s">
        <v>198</v>
      </c>
      <c r="P6" s="105" t="s">
        <v>196</v>
      </c>
      <c r="Q6" s="106" t="s">
        <v>203</v>
      </c>
      <c r="R6" s="108" t="s">
        <v>198</v>
      </c>
      <c r="T6" s="130" t="s">
        <v>258</v>
      </c>
      <c r="U6" s="130"/>
    </row>
    <row r="7" spans="1:21" ht="25.95" customHeight="1" thickTop="1" x14ac:dyDescent="0.25">
      <c r="A7" s="109">
        <v>15</v>
      </c>
      <c r="B7" s="110" t="s">
        <v>204</v>
      </c>
      <c r="C7" s="111"/>
      <c r="D7" s="109">
        <v>19</v>
      </c>
      <c r="E7" s="110" t="s">
        <v>205</v>
      </c>
      <c r="F7" s="111"/>
      <c r="G7" s="109">
        <v>6</v>
      </c>
      <c r="H7" s="110" t="s">
        <v>206</v>
      </c>
      <c r="I7" s="111"/>
      <c r="J7" s="109">
        <v>16</v>
      </c>
      <c r="K7" s="110" t="s">
        <v>207</v>
      </c>
      <c r="L7" s="111"/>
      <c r="M7" s="109">
        <v>10</v>
      </c>
      <c r="N7" s="110" t="s">
        <v>208</v>
      </c>
      <c r="O7" s="111"/>
      <c r="P7" s="109">
        <v>7</v>
      </c>
      <c r="Q7" s="110" t="s">
        <v>209</v>
      </c>
      <c r="R7" s="112"/>
      <c r="T7" s="21" t="s">
        <v>15</v>
      </c>
      <c r="U7" s="21" t="s">
        <v>20</v>
      </c>
    </row>
    <row r="8" spans="1:21" ht="38.4" customHeight="1" x14ac:dyDescent="0.25">
      <c r="A8" s="113">
        <v>25</v>
      </c>
      <c r="B8" s="114" t="s">
        <v>210</v>
      </c>
      <c r="C8" s="115"/>
      <c r="D8" s="113">
        <v>30</v>
      </c>
      <c r="E8" s="114" t="s">
        <v>211</v>
      </c>
      <c r="F8" s="115"/>
      <c r="G8" s="113">
        <v>8</v>
      </c>
      <c r="H8" s="114" t="s">
        <v>212</v>
      </c>
      <c r="I8" s="115"/>
      <c r="J8" s="113">
        <v>22</v>
      </c>
      <c r="K8" s="114" t="s">
        <v>213</v>
      </c>
      <c r="L8" s="115"/>
      <c r="M8" s="113">
        <v>23</v>
      </c>
      <c r="N8" s="114" t="s">
        <v>214</v>
      </c>
      <c r="O8" s="115"/>
      <c r="P8" s="113">
        <v>18</v>
      </c>
      <c r="Q8" s="114" t="s">
        <v>215</v>
      </c>
      <c r="R8" s="116"/>
      <c r="T8" s="41" t="s">
        <v>37</v>
      </c>
      <c r="U8" s="41" t="s">
        <v>40</v>
      </c>
    </row>
    <row r="9" spans="1:21" ht="25.95" customHeight="1" x14ac:dyDescent="0.25">
      <c r="A9" s="113">
        <v>41</v>
      </c>
      <c r="B9" s="114" t="s">
        <v>216</v>
      </c>
      <c r="C9" s="115"/>
      <c r="D9" s="113">
        <v>55</v>
      </c>
      <c r="E9" s="114" t="s">
        <v>217</v>
      </c>
      <c r="F9" s="115"/>
      <c r="G9" s="113">
        <v>43</v>
      </c>
      <c r="H9" s="114" t="s">
        <v>218</v>
      </c>
      <c r="I9" s="115"/>
      <c r="J9" s="113">
        <v>27</v>
      </c>
      <c r="K9" s="114" t="s">
        <v>219</v>
      </c>
      <c r="L9" s="115"/>
      <c r="M9" s="113">
        <v>34</v>
      </c>
      <c r="N9" s="114" t="s">
        <v>220</v>
      </c>
      <c r="O9" s="115"/>
      <c r="P9" s="113">
        <v>38</v>
      </c>
      <c r="Q9" s="114" t="s">
        <v>221</v>
      </c>
      <c r="R9" s="116"/>
      <c r="T9" s="41" t="s">
        <v>46</v>
      </c>
      <c r="U9" s="41" t="s">
        <v>49</v>
      </c>
    </row>
    <row r="10" spans="1:21" ht="25.95" customHeight="1" thickBot="1" x14ac:dyDescent="0.3">
      <c r="A10" s="117">
        <v>60</v>
      </c>
      <c r="B10" s="118" t="s">
        <v>222</v>
      </c>
      <c r="C10" s="119"/>
      <c r="D10" s="117">
        <v>65</v>
      </c>
      <c r="E10" s="118" t="s">
        <v>223</v>
      </c>
      <c r="F10" s="119"/>
      <c r="G10" s="117">
        <v>83</v>
      </c>
      <c r="H10" s="118" t="s">
        <v>224</v>
      </c>
      <c r="I10" s="119"/>
      <c r="J10" s="117">
        <v>40</v>
      </c>
      <c r="K10" s="118" t="s">
        <v>225</v>
      </c>
      <c r="L10" s="119"/>
      <c r="M10" s="117">
        <v>82</v>
      </c>
      <c r="N10" s="118" t="s">
        <v>226</v>
      </c>
      <c r="O10" s="119"/>
      <c r="P10" s="117">
        <v>44</v>
      </c>
      <c r="Q10" s="118" t="s">
        <v>227</v>
      </c>
      <c r="R10" s="120"/>
      <c r="T10" s="41" t="s">
        <v>54</v>
      </c>
      <c r="U10" s="41" t="s">
        <v>57</v>
      </c>
    </row>
    <row r="11" spans="1:21" ht="25.95" customHeight="1" thickTop="1" thickBot="1" x14ac:dyDescent="0.3">
      <c r="A11" s="105" t="s">
        <v>196</v>
      </c>
      <c r="B11" s="106" t="s">
        <v>228</v>
      </c>
      <c r="C11" s="107" t="s">
        <v>198</v>
      </c>
      <c r="D11" s="105" t="s">
        <v>196</v>
      </c>
      <c r="E11" s="106" t="s">
        <v>229</v>
      </c>
      <c r="F11" s="107" t="s">
        <v>198</v>
      </c>
      <c r="G11" s="105" t="s">
        <v>196</v>
      </c>
      <c r="H11" s="106" t="s">
        <v>230</v>
      </c>
      <c r="I11" s="107" t="s">
        <v>198</v>
      </c>
      <c r="J11" s="105" t="s">
        <v>196</v>
      </c>
      <c r="K11" s="106" t="s">
        <v>231</v>
      </c>
      <c r="L11" s="107" t="s">
        <v>198</v>
      </c>
      <c r="M11" s="105" t="s">
        <v>196</v>
      </c>
      <c r="N11" s="106" t="s">
        <v>232</v>
      </c>
      <c r="O11" s="107" t="s">
        <v>198</v>
      </c>
      <c r="P11" s="105" t="s">
        <v>196</v>
      </c>
      <c r="Q11" s="106" t="s">
        <v>233</v>
      </c>
      <c r="R11" s="108" t="s">
        <v>198</v>
      </c>
      <c r="T11" s="41" t="s">
        <v>70</v>
      </c>
      <c r="U11" s="41" t="s">
        <v>73</v>
      </c>
    </row>
    <row r="12" spans="1:21" ht="25.95" customHeight="1" x14ac:dyDescent="0.25">
      <c r="A12" s="109">
        <v>9</v>
      </c>
      <c r="B12" s="110" t="s">
        <v>234</v>
      </c>
      <c r="C12" s="111"/>
      <c r="D12" s="109">
        <v>2</v>
      </c>
      <c r="E12" s="110" t="s">
        <v>235</v>
      </c>
      <c r="F12" s="111"/>
      <c r="G12" s="109">
        <v>1</v>
      </c>
      <c r="H12" s="110" t="s">
        <v>236</v>
      </c>
      <c r="I12" s="111"/>
      <c r="J12" s="109">
        <v>3</v>
      </c>
      <c r="K12" s="110" t="s">
        <v>237</v>
      </c>
      <c r="L12" s="111"/>
      <c r="M12" s="109">
        <v>5</v>
      </c>
      <c r="N12" s="110" t="s">
        <v>238</v>
      </c>
      <c r="O12" s="111"/>
      <c r="P12" s="109">
        <v>4</v>
      </c>
      <c r="Q12" s="110" t="s">
        <v>239</v>
      </c>
      <c r="R12" s="112"/>
      <c r="T12" s="41" t="s">
        <v>78</v>
      </c>
      <c r="U12" s="41" t="s">
        <v>81</v>
      </c>
    </row>
    <row r="13" spans="1:21" ht="25.95" customHeight="1" x14ac:dyDescent="0.25">
      <c r="A13" s="113">
        <v>21</v>
      </c>
      <c r="B13" s="114" t="s">
        <v>240</v>
      </c>
      <c r="C13" s="115"/>
      <c r="D13" s="113">
        <v>17</v>
      </c>
      <c r="E13" s="114" t="s">
        <v>241</v>
      </c>
      <c r="F13" s="115"/>
      <c r="G13" s="113">
        <v>14</v>
      </c>
      <c r="H13" s="114" t="s">
        <v>242</v>
      </c>
      <c r="I13" s="115"/>
      <c r="J13" s="113">
        <v>24</v>
      </c>
      <c r="K13" s="114" t="s">
        <v>243</v>
      </c>
      <c r="L13" s="115"/>
      <c r="M13" s="113">
        <v>13</v>
      </c>
      <c r="N13" s="114" t="s">
        <v>244</v>
      </c>
      <c r="O13" s="115"/>
      <c r="P13" s="113">
        <v>11</v>
      </c>
      <c r="Q13" s="114" t="s">
        <v>245</v>
      </c>
      <c r="R13" s="116"/>
    </row>
    <row r="14" spans="1:21" ht="25.95" customHeight="1" x14ac:dyDescent="0.25">
      <c r="A14" s="113">
        <v>29</v>
      </c>
      <c r="B14" s="114" t="s">
        <v>246</v>
      </c>
      <c r="C14" s="115"/>
      <c r="D14" s="113">
        <v>61</v>
      </c>
      <c r="E14" s="114" t="s">
        <v>247</v>
      </c>
      <c r="F14" s="115"/>
      <c r="G14" s="113">
        <v>31</v>
      </c>
      <c r="H14" s="114" t="s">
        <v>248</v>
      </c>
      <c r="I14" s="115"/>
      <c r="J14" s="113">
        <v>28</v>
      </c>
      <c r="K14" s="114" t="s">
        <v>249</v>
      </c>
      <c r="L14" s="115"/>
      <c r="M14" s="113">
        <v>46</v>
      </c>
      <c r="N14" s="114" t="s">
        <v>250</v>
      </c>
      <c r="O14" s="115"/>
      <c r="P14" s="113">
        <v>33</v>
      </c>
      <c r="Q14" s="114" t="s">
        <v>251</v>
      </c>
      <c r="R14" s="116"/>
    </row>
    <row r="15" spans="1:21" ht="25.95" customHeight="1" thickBot="1" x14ac:dyDescent="0.3">
      <c r="A15" s="117">
        <v>85</v>
      </c>
      <c r="B15" s="118" t="s">
        <v>252</v>
      </c>
      <c r="C15" s="119"/>
      <c r="D15" s="117">
        <v>69</v>
      </c>
      <c r="E15" s="118" t="s">
        <v>253</v>
      </c>
      <c r="F15" s="119"/>
      <c r="G15" s="117">
        <v>57</v>
      </c>
      <c r="H15" s="118" t="s">
        <v>254</v>
      </c>
      <c r="I15" s="119"/>
      <c r="J15" s="117">
        <v>63</v>
      </c>
      <c r="K15" s="118" t="s">
        <v>255</v>
      </c>
      <c r="L15" s="119"/>
      <c r="M15" s="117">
        <v>50</v>
      </c>
      <c r="N15" s="118" t="s">
        <v>256</v>
      </c>
      <c r="O15" s="119"/>
      <c r="P15" s="117">
        <v>74</v>
      </c>
      <c r="Q15" s="118" t="s">
        <v>257</v>
      </c>
      <c r="R15" s="120"/>
    </row>
    <row r="16" spans="1:21" ht="13.8" thickTop="1" x14ac:dyDescent="0.25"/>
  </sheetData>
  <mergeCells count="6">
    <mergeCell ref="T6:U6"/>
    <mergeCell ref="A1:M1"/>
    <mergeCell ref="I2:M2"/>
    <mergeCell ref="A3:B3"/>
    <mergeCell ref="C3:E3"/>
    <mergeCell ref="H3:M3"/>
  </mergeCells>
  <pageMargins left="0.31496062992125984" right="0" top="0.35433070866141736" bottom="0.15748031496062992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17</vt:i4>
      </vt:variant>
    </vt:vector>
  </HeadingPairs>
  <TitlesOfParts>
    <vt:vector size="20" baseType="lpstr">
      <vt:lpstr>Form001</vt:lpstr>
      <vt:lpstr>Puntajes</vt:lpstr>
      <vt:lpstr>Grupos</vt:lpstr>
      <vt:lpstr>Form001!Área_de_impresión</vt:lpstr>
      <vt:lpstr>Puntajes!Eq4tos</vt:lpstr>
      <vt:lpstr>Puntajes!Eq8tvos</vt:lpstr>
      <vt:lpstr>Puntajes!EqCH</vt:lpstr>
      <vt:lpstr>Puntajes!EqFI</vt:lpstr>
      <vt:lpstr>Puntajes!EqSF</vt:lpstr>
      <vt:lpstr>Puntajes!ExtCol</vt:lpstr>
      <vt:lpstr>Puntajes!ExtOt</vt:lpstr>
      <vt:lpstr>Extras</vt:lpstr>
      <vt:lpstr>Fase32</vt:lpstr>
      <vt:lpstr>Puntajes!Mar1er</vt:lpstr>
      <vt:lpstr>Puntajes!Mar1eraRonda</vt:lpstr>
      <vt:lpstr>Puntajes!Mar3er</vt:lpstr>
      <vt:lpstr>Puntajes!Mar4tos</vt:lpstr>
      <vt:lpstr>Puntajes!Mar8tvos</vt:lpstr>
      <vt:lpstr>Puntajes!MarSF</vt:lpstr>
      <vt:lpstr>Puntajes!Títulos_a_imprimir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Carlos Lemaitre</dc:creator>
  <cp:lastModifiedBy>Ernesto Carlos Lemaitre</cp:lastModifiedBy>
  <dcterms:created xsi:type="dcterms:W3CDTF">2026-05-17T00:32:12Z</dcterms:created>
  <dcterms:modified xsi:type="dcterms:W3CDTF">2026-05-17T01:00:57Z</dcterms:modified>
</cp:coreProperties>
</file>