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icholaskling/Documents/Personal/Fantasy Football/2026/"/>
    </mc:Choice>
  </mc:AlternateContent>
  <xr:revisionPtr revIDLastSave="0" documentId="13_ncr:1_{C7D17988-6D15-1640-A98A-9B54E5BFE948}" xr6:coauthVersionLast="47" xr6:coauthVersionMax="47" xr10:uidLastSave="{00000000-0000-0000-0000-000000000000}"/>
  <bookViews>
    <workbookView xWindow="0" yWindow="600" windowWidth="28800" windowHeight="158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9" i="1" l="1"/>
  <c r="W36" i="1"/>
  <c r="W37" i="1"/>
  <c r="W38" i="1"/>
  <c r="W31" i="1"/>
  <c r="W32" i="1"/>
  <c r="W33" i="1"/>
  <c r="W34" i="1"/>
  <c r="W35" i="1"/>
  <c r="W39" i="1"/>
  <c r="C23" i="1"/>
  <c r="N40" i="1"/>
  <c r="O40" i="1"/>
  <c r="P40" i="1"/>
  <c r="Q40" i="1"/>
  <c r="R40" i="1"/>
  <c r="S40" i="1"/>
  <c r="T40" i="1"/>
  <c r="U40" i="1"/>
  <c r="V40" i="1"/>
  <c r="W25" i="1"/>
  <c r="W26" i="1"/>
  <c r="W27" i="1"/>
  <c r="W28" i="1"/>
  <c r="W29" i="1"/>
  <c r="W30" i="1"/>
  <c r="W24" i="1"/>
  <c r="M40" i="1"/>
  <c r="H25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H32" i="1"/>
  <c r="H35" i="1"/>
  <c r="H8" i="1"/>
  <c r="W40" i="1" l="1"/>
  <c r="H14" i="1"/>
  <c r="H37" i="1" s="1"/>
  <c r="C30" i="1"/>
  <c r="L8" i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<sst xmlns="http://schemas.openxmlformats.org/spreadsheetml/2006/main" count="90" uniqueCount="58">
  <si>
    <t xml:space="preserve">Buy-in </t>
  </si>
  <si>
    <t xml:space="preserve">Total </t>
  </si>
  <si>
    <t xml:space="preserve">Prize Money </t>
  </si>
  <si>
    <t xml:space="preserve">Per Week </t>
  </si>
  <si>
    <t xml:space="preserve">Dead Fucking Last </t>
  </si>
  <si>
    <t xml:space="preserve">Grand Total </t>
  </si>
  <si>
    <t>Losers Bracket</t>
  </si>
  <si>
    <t>Total Payouts</t>
  </si>
  <si>
    <t>Raw</t>
  </si>
  <si>
    <t>Kike</t>
  </si>
  <si>
    <t>Sergio</t>
  </si>
  <si>
    <t>Diego</t>
  </si>
  <si>
    <t>Pocho</t>
  </si>
  <si>
    <t xml:space="preserve">Weekly Pot </t>
  </si>
  <si>
    <t>NK</t>
  </si>
  <si>
    <t>Luis Ca</t>
  </si>
  <si>
    <t>Jaime</t>
  </si>
  <si>
    <t>Highest Scorer Reg Season</t>
  </si>
  <si>
    <t>Total</t>
  </si>
  <si>
    <t>Regular Season Standings</t>
  </si>
  <si>
    <t>Playoffs Standings</t>
  </si>
  <si>
    <t>Santi E</t>
  </si>
  <si>
    <t>Highest points againts (toda la temporada)</t>
  </si>
  <si>
    <t>Ferchos</t>
  </si>
  <si>
    <t xml:space="preserve">2nd DFL </t>
  </si>
  <si>
    <t>3rd DFL</t>
  </si>
  <si>
    <t xml:space="preserve">Pagado </t>
  </si>
  <si>
    <t xml:space="preserve">4th DFL </t>
  </si>
  <si>
    <t xml:space="preserve">Longest Undefeated Streak </t>
  </si>
  <si>
    <t xml:space="preserve">Lowest Margin Loser </t>
  </si>
  <si>
    <t>Highest points in 1 Week</t>
  </si>
  <si>
    <t>Nich</t>
  </si>
  <si>
    <t>Brian</t>
  </si>
  <si>
    <t xml:space="preserve">Pocho </t>
  </si>
  <si>
    <t>James</t>
  </si>
  <si>
    <t xml:space="preserve">Diego </t>
  </si>
  <si>
    <t xml:space="preserve">Neto </t>
  </si>
  <si>
    <t>Jugador</t>
  </si>
  <si>
    <t xml:space="preserve">James B </t>
  </si>
  <si>
    <t>James B</t>
  </si>
  <si>
    <t xml:space="preserve">Brian </t>
  </si>
  <si>
    <t xml:space="preserve">Weekly Pot (High Scorer) </t>
  </si>
  <si>
    <t xml:space="preserve">Acero </t>
  </si>
  <si>
    <t>Gabriel</t>
  </si>
  <si>
    <t xml:space="preserve">Weekly heads up </t>
  </si>
  <si>
    <t>Weekly</t>
  </si>
  <si>
    <t xml:space="preserve">HS Reg Season </t>
  </si>
  <si>
    <t xml:space="preserve">Points Against </t>
  </si>
  <si>
    <t xml:space="preserve">Undefeated </t>
  </si>
  <si>
    <t>Playoffs</t>
  </si>
  <si>
    <t xml:space="preserve">Highest 1 Week </t>
  </si>
  <si>
    <t>DFLs</t>
  </si>
  <si>
    <t xml:space="preserve">Lowest Margin </t>
  </si>
  <si>
    <t xml:space="preserve">Reg Season </t>
  </si>
  <si>
    <t>Steve</t>
  </si>
  <si>
    <t>Acero</t>
  </si>
  <si>
    <t>Amigo Steve</t>
  </si>
  <si>
    <t xml:space="preserve">Amigo Steve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</si>
</sst>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"/>
    <numFmt numFmtId="167" formatCode="&quot;$&quot;#,##0;[Red]&quot;$&quot;#,##0"/>
    <numFmt numFmtId="168" formatCode="&quot;$&quot;#,##0.00;[Red]&quot;$&quot;#,##0.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165" fontId="0" fillId="0" borderId="0" xfId="0" applyNumberFormat="1"/>
    <xf numFmtId="165" fontId="0" fillId="0" borderId="0" xfId="1" applyNumberFormat="1" applyFont="1" applyFill="1"/>
    <xf numFmtId="165" fontId="0" fillId="0" borderId="0" xfId="1" applyNumberFormat="1" applyFont="1" applyBorder="1"/>
    <xf numFmtId="0" fontId="0" fillId="0" borderId="14" xfId="0" applyBorder="1" applyAlignment="1">
      <alignment horizontal="left"/>
    </xf>
    <xf numFmtId="0" fontId="0" fillId="0" borderId="16" xfId="0" applyBorder="1"/>
    <xf numFmtId="166" fontId="0" fillId="0" borderId="5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5" fontId="0" fillId="0" borderId="11" xfId="1" applyNumberFormat="1" applyFont="1" applyFill="1" applyBorder="1" applyAlignment="1">
      <alignment horizontal="left"/>
    </xf>
    <xf numFmtId="165" fontId="0" fillId="0" borderId="12" xfId="1" applyNumberFormat="1" applyFont="1" applyFill="1" applyBorder="1" applyAlignment="1">
      <alignment horizontal="left"/>
    </xf>
    <xf numFmtId="165" fontId="0" fillId="0" borderId="13" xfId="1" applyNumberFormat="1" applyFont="1" applyFill="1" applyBorder="1" applyAlignment="1">
      <alignment horizontal="left"/>
    </xf>
    <xf numFmtId="0" fontId="0" fillId="0" borderId="9" xfId="0" applyBorder="1"/>
    <xf numFmtId="166" fontId="5" fillId="0" borderId="5" xfId="0" applyNumberFormat="1" applyFont="1" applyBorder="1" applyAlignment="1">
      <alignment horizontal="center"/>
    </xf>
    <xf numFmtId="165" fontId="0" fillId="0" borderId="1" xfId="1" applyNumberFormat="1" applyFont="1" applyFill="1" applyBorder="1"/>
    <xf numFmtId="165" fontId="0" fillId="0" borderId="1" xfId="0" applyNumberFormat="1" applyBorder="1"/>
    <xf numFmtId="165" fontId="0" fillId="0" borderId="15" xfId="1" applyNumberFormat="1" applyFont="1" applyFill="1" applyBorder="1" applyAlignment="1">
      <alignment horizontal="left"/>
    </xf>
    <xf numFmtId="0" fontId="0" fillId="0" borderId="17" xfId="0" applyBorder="1"/>
    <xf numFmtId="166" fontId="0" fillId="0" borderId="18" xfId="0" applyNumberFormat="1" applyBorder="1" applyAlignment="1">
      <alignment horizontal="center"/>
    </xf>
    <xf numFmtId="167" fontId="0" fillId="0" borderId="17" xfId="0" applyNumberFormat="1" applyBorder="1" applyAlignment="1">
      <alignment horizontal="center"/>
    </xf>
    <xf numFmtId="167" fontId="0" fillId="0" borderId="0" xfId="0" applyNumberFormat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2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AA44"/>
  <sheetViews>
    <sheetView showGridLines="0" tabSelected="1" zoomScaleNormal="100" workbookViewId="0">
      <selection activeCell="H18" sqref="H18"/>
    </sheetView>
  </sheetViews>
  <sheetFormatPr baseColWidth="10" defaultRowHeight="16" x14ac:dyDescent="0.2"/>
  <cols>
    <col min="1" max="1" width="3.1640625" bestFit="1" customWidth="1"/>
    <col min="2" max="2" width="18.83203125" bestFit="1" customWidth="1"/>
    <col min="6" max="6" width="34.6640625" bestFit="1" customWidth="1"/>
    <col min="11" max="11" width="7.1640625" customWidth="1"/>
    <col min="13" max="13" width="7.33203125" bestFit="1" customWidth="1"/>
    <col min="15" max="15" width="13.83203125" bestFit="1" customWidth="1"/>
    <col min="16" max="16" width="13.5" bestFit="1" customWidth="1"/>
    <col min="18" max="18" width="14.5" bestFit="1" customWidth="1"/>
    <col min="22" max="22" width="13.83203125" bestFit="1" customWidth="1"/>
    <col min="24" max="24" width="19.1640625" customWidth="1"/>
  </cols>
  <sheetData>
    <row r="6" spans="1:22" x14ac:dyDescent="0.2">
      <c r="C6" s="1" t="s">
        <v>0</v>
      </c>
      <c r="D6" s="1" t="s">
        <v>26</v>
      </c>
      <c r="F6" s="30" t="s">
        <v>2</v>
      </c>
      <c r="G6" s="30"/>
      <c r="H6" s="30"/>
      <c r="I6" s="1"/>
      <c r="J6" s="1"/>
      <c r="L6" s="31" t="s">
        <v>13</v>
      </c>
      <c r="M6" s="32"/>
      <c r="N6" s="33"/>
    </row>
    <row r="7" spans="1:22" x14ac:dyDescent="0.2">
      <c r="A7">
        <v>1</v>
      </c>
      <c r="B7" t="s">
        <v>9</v>
      </c>
      <c r="C7" s="2">
        <v>650</v>
      </c>
      <c r="D7" s="2"/>
      <c r="G7" t="s">
        <v>3</v>
      </c>
      <c r="H7" t="s">
        <v>1</v>
      </c>
      <c r="L7" s="3">
        <v>1</v>
      </c>
      <c r="M7" s="16">
        <v>50</v>
      </c>
      <c r="N7" s="4"/>
    </row>
    <row r="8" spans="1:22" x14ac:dyDescent="0.2">
      <c r="A8">
        <f>A7+1</f>
        <v>2</v>
      </c>
      <c r="B8" t="s">
        <v>12</v>
      </c>
      <c r="C8" s="2">
        <f>C7</f>
        <v>650</v>
      </c>
      <c r="D8" s="2"/>
      <c r="F8" t="s">
        <v>41</v>
      </c>
      <c r="G8" s="2">
        <v>50</v>
      </c>
      <c r="H8" s="10">
        <f>G8*14</f>
        <v>700</v>
      </c>
      <c r="I8" s="2"/>
      <c r="J8" s="2"/>
      <c r="L8" s="5">
        <f>L7+1</f>
        <v>2</v>
      </c>
      <c r="M8" s="17">
        <v>50</v>
      </c>
      <c r="N8" s="6"/>
    </row>
    <row r="9" spans="1:22" x14ac:dyDescent="0.2">
      <c r="A9">
        <f t="shared" ref="A9:A18" si="0">A8+1</f>
        <v>3</v>
      </c>
      <c r="B9" t="s">
        <v>8</v>
      </c>
      <c r="C9" s="2">
        <f t="shared" ref="C9:C17" si="1">C8</f>
        <v>650</v>
      </c>
      <c r="D9" s="2"/>
      <c r="F9" t="s">
        <v>44</v>
      </c>
      <c r="H9" s="10">
        <f>160*14</f>
        <v>2240</v>
      </c>
      <c r="I9" s="2"/>
      <c r="J9" s="2"/>
      <c r="L9" s="5">
        <f t="shared" ref="L9:L18" si="2">L8+1</f>
        <v>3</v>
      </c>
      <c r="M9" s="17">
        <v>50</v>
      </c>
      <c r="N9" s="6"/>
    </row>
    <row r="10" spans="1:22" x14ac:dyDescent="0.2">
      <c r="A10">
        <f t="shared" si="0"/>
        <v>4</v>
      </c>
      <c r="B10" t="s">
        <v>14</v>
      </c>
      <c r="C10" s="2">
        <f t="shared" si="1"/>
        <v>650</v>
      </c>
      <c r="D10" s="2"/>
      <c r="F10" t="s">
        <v>17</v>
      </c>
      <c r="H10" s="10">
        <v>250</v>
      </c>
      <c r="I10" s="2"/>
      <c r="J10" s="2"/>
      <c r="L10" s="5">
        <f t="shared" si="2"/>
        <v>4</v>
      </c>
      <c r="M10" s="17">
        <v>50</v>
      </c>
      <c r="N10" s="6"/>
      <c r="V10" s="9"/>
    </row>
    <row r="11" spans="1:22" x14ac:dyDescent="0.2">
      <c r="A11">
        <f t="shared" si="0"/>
        <v>5</v>
      </c>
      <c r="B11" t="s">
        <v>23</v>
      </c>
      <c r="C11" s="2">
        <f t="shared" si="1"/>
        <v>650</v>
      </c>
      <c r="D11" s="2"/>
      <c r="F11" t="s">
        <v>22</v>
      </c>
      <c r="H11" s="10">
        <v>50</v>
      </c>
      <c r="I11" s="10"/>
      <c r="J11" s="10"/>
      <c r="L11" s="5">
        <f t="shared" si="2"/>
        <v>5</v>
      </c>
      <c r="M11" s="17">
        <v>50</v>
      </c>
      <c r="N11" s="6"/>
    </row>
    <row r="12" spans="1:22" x14ac:dyDescent="0.2">
      <c r="A12">
        <f t="shared" si="0"/>
        <v>6</v>
      </c>
      <c r="B12" t="s">
        <v>40</v>
      </c>
      <c r="C12" s="2">
        <f t="shared" si="1"/>
        <v>650</v>
      </c>
      <c r="D12" s="2"/>
      <c r="F12" t="s">
        <v>28</v>
      </c>
      <c r="H12" s="10">
        <v>50</v>
      </c>
      <c r="I12" s="10"/>
      <c r="J12" s="10"/>
      <c r="L12" s="5">
        <f t="shared" si="2"/>
        <v>6</v>
      </c>
      <c r="M12" s="17">
        <v>50</v>
      </c>
      <c r="N12" s="6"/>
    </row>
    <row r="13" spans="1:22" x14ac:dyDescent="0.2">
      <c r="A13">
        <f t="shared" si="0"/>
        <v>7</v>
      </c>
      <c r="B13" t="s">
        <v>38</v>
      </c>
      <c r="C13" s="2">
        <f t="shared" si="1"/>
        <v>650</v>
      </c>
      <c r="D13" s="2"/>
      <c r="F13" t="s">
        <v>30</v>
      </c>
      <c r="H13" s="10">
        <v>50</v>
      </c>
      <c r="I13" s="10"/>
      <c r="J13" s="10"/>
      <c r="L13" s="5">
        <f t="shared" si="2"/>
        <v>7</v>
      </c>
      <c r="M13" s="17">
        <v>50</v>
      </c>
      <c r="N13" s="6"/>
    </row>
    <row r="14" spans="1:22" x14ac:dyDescent="0.2">
      <c r="A14">
        <f t="shared" si="0"/>
        <v>8</v>
      </c>
      <c r="B14" t="s">
        <v>10</v>
      </c>
      <c r="C14" s="2">
        <f t="shared" si="1"/>
        <v>650</v>
      </c>
      <c r="D14" s="2"/>
      <c r="G14" t="s">
        <v>18</v>
      </c>
      <c r="H14" s="21">
        <f>SUM(H8:H13)</f>
        <v>3340</v>
      </c>
      <c r="I14" s="11"/>
      <c r="J14" s="11"/>
      <c r="L14" s="5">
        <f t="shared" si="2"/>
        <v>8</v>
      </c>
      <c r="M14" s="17">
        <v>50</v>
      </c>
      <c r="N14" s="6"/>
    </row>
    <row r="15" spans="1:22" x14ac:dyDescent="0.2">
      <c r="A15">
        <f t="shared" si="0"/>
        <v>9</v>
      </c>
      <c r="B15" t="s">
        <v>15</v>
      </c>
      <c r="C15" s="2">
        <f t="shared" si="1"/>
        <v>650</v>
      </c>
      <c r="D15" s="2"/>
      <c r="I15" s="2"/>
      <c r="J15" s="2"/>
      <c r="L15" s="5">
        <f t="shared" si="2"/>
        <v>9</v>
      </c>
      <c r="M15" s="17">
        <v>50</v>
      </c>
      <c r="N15" s="6"/>
    </row>
    <row r="16" spans="1:22" x14ac:dyDescent="0.2">
      <c r="A16">
        <f t="shared" si="0"/>
        <v>10</v>
      </c>
      <c r="B16" t="s">
        <v>11</v>
      </c>
      <c r="C16" s="2">
        <f t="shared" si="1"/>
        <v>650</v>
      </c>
      <c r="D16" s="2"/>
      <c r="I16" s="2"/>
      <c r="J16" s="2"/>
      <c r="L16" s="5">
        <f t="shared" si="2"/>
        <v>10</v>
      </c>
      <c r="M16" s="17">
        <v>50</v>
      </c>
      <c r="N16" s="6"/>
    </row>
    <row r="17" spans="1:27" x14ac:dyDescent="0.2">
      <c r="A17">
        <f t="shared" si="0"/>
        <v>11</v>
      </c>
      <c r="B17" t="s">
        <v>16</v>
      </c>
      <c r="C17" s="2">
        <f t="shared" si="1"/>
        <v>650</v>
      </c>
      <c r="D17" s="2"/>
      <c r="F17" t="s">
        <v>19</v>
      </c>
      <c r="G17">
        <v>1</v>
      </c>
      <c r="H17" s="10">
        <v>1610</v>
      </c>
      <c r="I17" s="2"/>
      <c r="J17" s="2"/>
      <c r="L17" s="5">
        <f t="shared" si="2"/>
        <v>11</v>
      </c>
      <c r="M17" s="17">
        <v>50</v>
      </c>
      <c r="N17" s="6"/>
    </row>
    <row r="18" spans="1:27" x14ac:dyDescent="0.2">
      <c r="A18">
        <f t="shared" si="0"/>
        <v>12</v>
      </c>
      <c r="B18" t="s">
        <v>21</v>
      </c>
      <c r="C18" s="2">
        <f>C17</f>
        <v>650</v>
      </c>
      <c r="D18" s="2"/>
      <c r="G18">
        <v>2</v>
      </c>
      <c r="H18" s="10">
        <v>900</v>
      </c>
      <c r="I18" s="2"/>
      <c r="J18" s="2"/>
      <c r="L18" s="5">
        <f t="shared" si="2"/>
        <v>12</v>
      </c>
      <c r="M18" s="17">
        <v>50</v>
      </c>
      <c r="N18" s="6"/>
    </row>
    <row r="19" spans="1:27" x14ac:dyDescent="0.2">
      <c r="A19">
        <v>13</v>
      </c>
      <c r="B19" t="s">
        <v>42</v>
      </c>
      <c r="C19" s="2">
        <v>650</v>
      </c>
      <c r="D19" s="2"/>
      <c r="G19">
        <v>3</v>
      </c>
      <c r="H19" s="10">
        <v>700</v>
      </c>
      <c r="I19" s="2"/>
      <c r="J19" s="2"/>
      <c r="L19" s="12">
        <v>13</v>
      </c>
      <c r="M19" s="23">
        <v>50</v>
      </c>
      <c r="N19" s="13"/>
    </row>
    <row r="20" spans="1:27" x14ac:dyDescent="0.2">
      <c r="A20">
        <v>14</v>
      </c>
      <c r="B20" t="s">
        <v>43</v>
      </c>
      <c r="C20" s="2">
        <v>650</v>
      </c>
      <c r="D20" s="2"/>
      <c r="G20">
        <v>4</v>
      </c>
      <c r="H20" s="10">
        <v>550</v>
      </c>
      <c r="I20" s="2"/>
      <c r="J20" s="2"/>
      <c r="L20" s="7">
        <v>14</v>
      </c>
      <c r="M20" s="18">
        <v>50</v>
      </c>
      <c r="N20" s="8"/>
    </row>
    <row r="21" spans="1:27" x14ac:dyDescent="0.2">
      <c r="A21">
        <v>15</v>
      </c>
      <c r="B21" t="s">
        <v>54</v>
      </c>
      <c r="C21" s="2">
        <v>650</v>
      </c>
      <c r="D21" s="11"/>
      <c r="G21">
        <v>5</v>
      </c>
      <c r="H21" s="10">
        <v>400</v>
      </c>
      <c r="I21" s="2"/>
      <c r="J21" s="2"/>
    </row>
    <row r="22" spans="1:27" x14ac:dyDescent="0.2">
      <c r="A22">
        <v>16</v>
      </c>
      <c r="B22" t="s">
        <v>57</v>
      </c>
      <c r="C22" s="2">
        <v>650</v>
      </c>
      <c r="G22">
        <v>6</v>
      </c>
      <c r="H22" s="10">
        <v>325</v>
      </c>
      <c r="I22" s="2"/>
      <c r="J22" s="2"/>
      <c r="Q22" s="9"/>
      <c r="R22" s="9"/>
      <c r="S22" s="9"/>
      <c r="T22" s="9"/>
      <c r="U22" s="9"/>
    </row>
    <row r="23" spans="1:27" x14ac:dyDescent="0.2">
      <c r="B23" t="s">
        <v>1</v>
      </c>
      <c r="C23" s="21">
        <f>SUM(C7:C22)</f>
        <v>10400</v>
      </c>
      <c r="D23" s="2"/>
      <c r="G23">
        <v>7</v>
      </c>
      <c r="H23" s="10">
        <v>275</v>
      </c>
      <c r="I23" s="2"/>
      <c r="J23" s="2"/>
      <c r="L23" s="24" t="s">
        <v>37</v>
      </c>
      <c r="M23" s="19" t="s">
        <v>45</v>
      </c>
      <c r="N23" s="19" t="s">
        <v>13</v>
      </c>
      <c r="O23" s="19" t="s">
        <v>46</v>
      </c>
      <c r="P23" s="19" t="s">
        <v>47</v>
      </c>
      <c r="Q23" s="19" t="s">
        <v>48</v>
      </c>
      <c r="R23" s="19" t="s">
        <v>50</v>
      </c>
      <c r="S23" s="19" t="s">
        <v>53</v>
      </c>
      <c r="T23" s="19" t="s">
        <v>49</v>
      </c>
      <c r="U23" s="19" t="s">
        <v>51</v>
      </c>
      <c r="V23" s="19" t="s">
        <v>52</v>
      </c>
      <c r="W23" s="19" t="s">
        <v>36</v>
      </c>
      <c r="X23" s="24" t="s">
        <v>37</v>
      </c>
    </row>
    <row r="24" spans="1:27" x14ac:dyDescent="0.2">
      <c r="D24" s="2"/>
      <c r="G24">
        <v>8</v>
      </c>
      <c r="H24" s="10">
        <v>200</v>
      </c>
      <c r="I24" s="11"/>
      <c r="J24" s="11"/>
      <c r="L24" s="25" t="s">
        <v>9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0">
        <f>SUM(M24:V24)</f>
        <v>0</v>
      </c>
      <c r="X24" s="25" t="s">
        <v>9</v>
      </c>
      <c r="Z24" s="29"/>
    </row>
    <row r="25" spans="1:27" x14ac:dyDescent="0.2">
      <c r="B25" t="s">
        <v>4</v>
      </c>
      <c r="C25" s="10">
        <v>200</v>
      </c>
      <c r="D25" s="2"/>
      <c r="G25" t="s">
        <v>1</v>
      </c>
      <c r="H25" s="21">
        <f>SUM(H17:H24)</f>
        <v>4960</v>
      </c>
      <c r="I25" s="2"/>
      <c r="J25" s="2"/>
      <c r="K25" s="9"/>
      <c r="L25" s="25" t="s">
        <v>39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20">
        <f t="shared" ref="W25:W39" si="3">SUM(M25:V25)</f>
        <v>0</v>
      </c>
      <c r="X25" s="25" t="s">
        <v>39</v>
      </c>
      <c r="Z25" s="29"/>
    </row>
    <row r="26" spans="1:27" x14ac:dyDescent="0.2">
      <c r="B26" t="s">
        <v>24</v>
      </c>
      <c r="C26" s="10">
        <v>150</v>
      </c>
      <c r="H26" s="10"/>
      <c r="I26" s="2"/>
      <c r="J26" s="2"/>
      <c r="L26" s="25" t="s">
        <v>23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20">
        <f t="shared" si="3"/>
        <v>0</v>
      </c>
      <c r="X26" s="25" t="s">
        <v>23</v>
      </c>
      <c r="Z26" s="29"/>
    </row>
    <row r="27" spans="1:27" x14ac:dyDescent="0.2">
      <c r="B27" t="s">
        <v>25</v>
      </c>
      <c r="C27" s="10">
        <v>100</v>
      </c>
      <c r="D27" s="9"/>
      <c r="H27" s="10"/>
      <c r="I27" s="2"/>
      <c r="J27" s="2"/>
      <c r="L27" s="25" t="s">
        <v>10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20">
        <f t="shared" si="3"/>
        <v>0</v>
      </c>
      <c r="X27" s="25" t="s">
        <v>10</v>
      </c>
      <c r="Z27" s="29"/>
    </row>
    <row r="28" spans="1:27" x14ac:dyDescent="0.2">
      <c r="B28" t="s">
        <v>27</v>
      </c>
      <c r="C28" s="10">
        <v>75</v>
      </c>
      <c r="D28" s="9"/>
      <c r="F28" t="s">
        <v>20</v>
      </c>
      <c r="G28">
        <v>1</v>
      </c>
      <c r="H28" s="10">
        <v>1200</v>
      </c>
      <c r="I28" s="2"/>
      <c r="J28" s="2"/>
      <c r="L28" s="25" t="s">
        <v>31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20">
        <f t="shared" si="3"/>
        <v>0</v>
      </c>
      <c r="X28" s="25" t="s">
        <v>31</v>
      </c>
      <c r="Z28" s="29"/>
    </row>
    <row r="29" spans="1:27" x14ac:dyDescent="0.2">
      <c r="B29" t="s">
        <v>29</v>
      </c>
      <c r="C29" s="10">
        <v>25</v>
      </c>
      <c r="G29">
        <v>2</v>
      </c>
      <c r="H29" s="10">
        <v>600</v>
      </c>
      <c r="I29" s="2"/>
      <c r="J29" s="2"/>
      <c r="L29" s="25" t="s">
        <v>15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20">
        <f t="shared" si="3"/>
        <v>0</v>
      </c>
      <c r="X29" s="25" t="s">
        <v>15</v>
      </c>
      <c r="Z29" s="29"/>
    </row>
    <row r="30" spans="1:27" x14ac:dyDescent="0.2">
      <c r="B30" t="s">
        <v>5</v>
      </c>
      <c r="C30" s="22">
        <f>SUM(C25:C29)+C23</f>
        <v>10950</v>
      </c>
      <c r="G30">
        <v>3</v>
      </c>
      <c r="H30" s="10">
        <v>350</v>
      </c>
      <c r="I30" s="2"/>
      <c r="J30" s="2"/>
      <c r="L30" s="25" t="s">
        <v>32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20">
        <f t="shared" si="3"/>
        <v>0</v>
      </c>
      <c r="X30" s="25" t="s">
        <v>32</v>
      </c>
      <c r="Z30" s="29"/>
    </row>
    <row r="31" spans="1:27" x14ac:dyDescent="0.2">
      <c r="G31">
        <v>4</v>
      </c>
      <c r="H31" s="10">
        <v>250</v>
      </c>
      <c r="I31" s="2"/>
      <c r="J31" s="2"/>
      <c r="L31" s="25" t="s">
        <v>33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20">
        <f t="shared" si="3"/>
        <v>0</v>
      </c>
      <c r="X31" s="25" t="s">
        <v>33</v>
      </c>
      <c r="Z31" s="29"/>
    </row>
    <row r="32" spans="1:27" x14ac:dyDescent="0.2">
      <c r="G32" t="s">
        <v>1</v>
      </c>
      <c r="H32" s="21">
        <f>SUM(H28:H31)</f>
        <v>2400</v>
      </c>
      <c r="I32" s="2"/>
      <c r="J32" s="2"/>
      <c r="L32" s="25" t="s">
        <v>34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20">
        <f t="shared" si="3"/>
        <v>0</v>
      </c>
      <c r="X32" s="25" t="s">
        <v>34</v>
      </c>
      <c r="Z32" s="29"/>
      <c r="AA32" s="29"/>
    </row>
    <row r="33" spans="6:26" x14ac:dyDescent="0.2">
      <c r="I33" s="11"/>
      <c r="J33" s="11"/>
      <c r="L33" s="25" t="s">
        <v>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20">
        <f t="shared" si="3"/>
        <v>0</v>
      </c>
      <c r="X33" s="25" t="s">
        <v>8</v>
      </c>
      <c r="Z33" s="29"/>
    </row>
    <row r="34" spans="6:26" x14ac:dyDescent="0.2">
      <c r="F34" t="s">
        <v>6</v>
      </c>
      <c r="G34">
        <v>1</v>
      </c>
      <c r="H34" s="10">
        <v>250</v>
      </c>
      <c r="L34" s="25" t="s">
        <v>35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20">
        <f t="shared" si="3"/>
        <v>0</v>
      </c>
      <c r="X34" s="25" t="s">
        <v>35</v>
      </c>
      <c r="Z34" s="29"/>
    </row>
    <row r="35" spans="6:26" x14ac:dyDescent="0.2">
      <c r="G35" t="s">
        <v>1</v>
      </c>
      <c r="H35" s="22">
        <f>H34</f>
        <v>250</v>
      </c>
      <c r="I35" s="2"/>
      <c r="J35" s="2"/>
      <c r="L35" s="25" t="s">
        <v>21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20">
        <f t="shared" si="3"/>
        <v>0</v>
      </c>
      <c r="X35" s="25" t="s">
        <v>21</v>
      </c>
      <c r="Z35" s="29"/>
    </row>
    <row r="36" spans="6:26" x14ac:dyDescent="0.2">
      <c r="I36" s="9"/>
      <c r="J36" s="9"/>
      <c r="L36" s="25" t="s">
        <v>55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20">
        <f t="shared" si="3"/>
        <v>0</v>
      </c>
      <c r="X36" s="25" t="s">
        <v>55</v>
      </c>
      <c r="Z36" s="29"/>
    </row>
    <row r="37" spans="6:26" x14ac:dyDescent="0.2">
      <c r="F37" t="s">
        <v>7</v>
      </c>
      <c r="H37" s="21">
        <f>H14+H25+H32+H35</f>
        <v>10950</v>
      </c>
      <c r="L37" s="25" t="s">
        <v>56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20">
        <f t="shared" si="3"/>
        <v>0</v>
      </c>
      <c r="X37" s="25" t="s">
        <v>56</v>
      </c>
      <c r="Z37" s="29"/>
    </row>
    <row r="38" spans="6:26" x14ac:dyDescent="0.2">
      <c r="I38" s="11"/>
      <c r="J38" s="11"/>
      <c r="L38" s="25" t="s">
        <v>54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20">
        <f t="shared" si="3"/>
        <v>0</v>
      </c>
      <c r="X38" s="25" t="s">
        <v>54</v>
      </c>
    </row>
    <row r="39" spans="6:26" x14ac:dyDescent="0.2">
      <c r="L39" s="25" t="s">
        <v>43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20">
        <f t="shared" si="3"/>
        <v>0</v>
      </c>
      <c r="X39" s="25" t="s">
        <v>43</v>
      </c>
    </row>
    <row r="40" spans="6:26" x14ac:dyDescent="0.2">
      <c r="H40" s="9"/>
      <c r="L40" s="26" t="s">
        <v>1</v>
      </c>
      <c r="M40" s="15">
        <f t="shared" ref="M40:W40" si="4">SUM(M24:M39)</f>
        <v>0</v>
      </c>
      <c r="N40" s="15">
        <f t="shared" si="4"/>
        <v>0</v>
      </c>
      <c r="O40" s="15">
        <f t="shared" si="4"/>
        <v>0</v>
      </c>
      <c r="P40" s="15">
        <f t="shared" si="4"/>
        <v>0</v>
      </c>
      <c r="Q40" s="15">
        <f t="shared" si="4"/>
        <v>0</v>
      </c>
      <c r="R40" s="15">
        <f t="shared" si="4"/>
        <v>0</v>
      </c>
      <c r="S40" s="15">
        <f t="shared" si="4"/>
        <v>0</v>
      </c>
      <c r="T40" s="15">
        <f t="shared" si="4"/>
        <v>0</v>
      </c>
      <c r="U40" s="15">
        <f t="shared" si="4"/>
        <v>0</v>
      </c>
      <c r="V40" s="15">
        <f t="shared" si="4"/>
        <v>0</v>
      </c>
      <c r="W40" s="15">
        <f t="shared" si="4"/>
        <v>0</v>
      </c>
      <c r="X40" s="26" t="s">
        <v>1</v>
      </c>
    </row>
    <row r="42" spans="6:26" x14ac:dyDescent="0.2">
      <c r="M42" s="27"/>
    </row>
    <row r="43" spans="6:26" x14ac:dyDescent="0.2">
      <c r="M43" s="28"/>
      <c r="N43" s="9"/>
      <c r="Q43" s="1"/>
    </row>
    <row r="44" spans="6:26" x14ac:dyDescent="0.2">
      <c r="M44" s="27"/>
    </row>
  </sheetData>
  <mergeCells count="2">
    <mergeCell ref="F6:H6"/>
    <mergeCell ref="L6:N6"/>
  </mergeCells>
  <phoneticPr fontId="2" type="noConversion"/>
  <pageMargins left="0.75" right="0.75" top="1" bottom="1" header="0.5" footer="0.5"/>
  <pageSetup scale="54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Kling</dc:creator>
  <cp:lastModifiedBy>Nicholas Kling</cp:lastModifiedBy>
  <cp:lastPrinted>2023-05-17T23:06:42Z</cp:lastPrinted>
  <dcterms:created xsi:type="dcterms:W3CDTF">2017-08-23T19:08:45Z</dcterms:created>
  <dcterms:modified xsi:type="dcterms:W3CDTF">2026-08-13T03:22:25Z</dcterms:modified>
</cp:coreProperties>
</file>